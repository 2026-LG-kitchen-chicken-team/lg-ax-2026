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d99475cdc547fc" /></Relationships>
</file>

<file path=xl/workbook.xml><?xml version="1.0" encoding="utf-8"?>
<x:workbook xmlns:x="http://schemas.openxmlformats.org/spreadsheetml/2006/main">
  <x:sheets>
    <x:sheet xmlns:r="http://schemas.openxmlformats.org/officeDocument/2006/relationships" name="요약" sheetId="1" r:id="Rc1e1bd2d232342b0"/>
    <x:sheet xmlns:r="http://schemas.openxmlformats.org/officeDocument/2006/relationships" name="리뷰" sheetId="2" r:id="R3d29677e92f8473c"/>
    <x:sheet xmlns:r="http://schemas.openxmlformats.org/officeDocument/2006/relationships" name="관측" sheetId="3" r:id="Rbf9e0ee18fca4afd"/>
    <x:sheet xmlns:r="http://schemas.openxmlformats.org/officeDocument/2006/relationships" name="제품·출처" sheetId="4" r:id="Rc5dd34a982cd402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6">
    <x:font>
      <x:sz val="11"/>
      <x:name val="Carlito"/>
    </x:font>
    <x:font>
      <x:sz val="11"/>
      <x:color rgb="FF17202A"/>
      <x:name val="Arial"/>
    </x:font>
    <x:font>
      <x:b/>
      <x:sz val="14"/>
      <x:color rgb="FF17202A"/>
      <x:name val="Arial"/>
    </x:font>
    <x:font>
      <x:i/>
      <x:sz val="10"/>
      <x:color rgb="FF586174"/>
      <x:name val="Arial"/>
    </x:font>
    <x:font>
      <x:b/>
      <x:sz val="11"/>
      <x:color rgb="FFFFFFFF"/>
      <x:name val="Arial"/>
    </x:font>
    <x:font>
      <x:b/>
      <x:sz val="11"/>
      <x:color rgb="FF17202A"/>
      <x:name val="Arial"/>
    </x:font>
  </x:fonts>
  <x:fills count="5">
    <x:fill>
      <x:patternFill patternType="none"/>
    </x:fill>
    <x:fill>
      <x:patternFill patternType="gray125"/>
    </x:fill>
    <x:fill>
      <x:patternFill patternType="solid">
        <x:fgColor rgb="FF25364A"/>
      </x:patternFill>
    </x:fill>
    <x:fill>
      <x:patternFill patternType="solid">
        <x:fgColor rgb="FFFFF2CC"/>
      </x:patternFill>
    </x:fill>
    <x:fill>
      <x:patternFill patternType="solid">
        <x:fgColor rgb="FFE9EEF4"/>
      </x:patternFill>
    </x:fill>
  </x:fills>
  <x:borders count="1">
    <x:border/>
  </x:borders>
  <x:cellStyleXfs count="1">
    <x:xf numFmtId="0" fontId="0" fillId="0" borderId="0"/>
  </x:cellStyleXfs>
  <x:cellXfs count="27">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1"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x:xf numFmtId="201" fontId="1" fillId="0" borderId="0" xfId="0" applyNumberFormat="1" applyFont="1" applyFill="1" applyBorder="1"/>
    <x:xf numFmtId="200" fontId="1" fillId="0" borderId="0" xfId="0" applyNumberFormat="1" applyFont="1" applyFill="1" applyBorder="1" applyAlignment="1">
      <x:alignment wrapText="1"/>
    </x:xf>
    <x:xf numFmtId="201"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4" borderId="0" xfId="0" applyNumberFormat="1" applyFont="1" applyFill="1" applyBorder="1"/>
    <x:xf numFmtId="0" fontId="5" fillId="4" borderId="0" xfId="0" applyNumberFormat="1" applyFont="1" applyFill="1" applyBorder="1"/>
    <x:xf numFmtId="202" fontId="1" fillId="0" borderId="0" xfId="0" applyNumberFormat="1" applyFont="1" applyFill="1" applyBorder="1"/>
    <x:xf numFmtId="202" fontId="1" fillId="0" borderId="0" xfId="0" applyNumberFormat="1" applyFont="1" applyFill="1" applyBorder="1" applyAlignment="1">
      <x:alignment wrapText="1"/>
    </x:xf>
    <x:xf numFmtId="0" fontId="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8e9167186744b8" /><Relationship Type="http://schemas.openxmlformats.org/officeDocument/2006/relationships/theme" Target="/xl/theme/theme1.xml" Id="Rb0d7633fb13f4d3e" /><Relationship Type="http://schemas.microsoft.com/office/2022/11/relationships/FeaturePropertyBag" Target="/xl/featurePropertyBag/featurePropertyBag.xml" Id="R54b903cc48254ea4" /><Relationship Type="http://schemas.openxmlformats.org/officeDocument/2006/relationships/sharedStrings" Target="/xl/sharedStrings.xml" Id="R8981b5bd50a840f1" /><Relationship Type="http://schemas.openxmlformats.org/officeDocument/2006/relationships/worksheet" Target="/xl/worksheets/sheet1.xml" Id="Rc1e1bd2d232342b0" /><Relationship Type="http://schemas.openxmlformats.org/officeDocument/2006/relationships/worksheet" Target="/xl/worksheets/sheet2.xml" Id="R3d29677e92f8473c" /><Relationship Type="http://schemas.openxmlformats.org/officeDocument/2006/relationships/worksheet" Target="/xl/worksheets/sheet3.xml" Id="Rbf9e0ee18fca4afd" /><Relationship Type="http://schemas.openxmlformats.org/officeDocument/2006/relationships/worksheet" Target="/xl/worksheets/sheet4.xml" Id="Rc5dd34a982cd402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ublicReviews" displayName="PublicReviews" ref="A4:S242" headerRowCount="1" totalsRowCount="0" totalsRowShown="0">
  <x:tableColumns count="19">
    <x:tableColumn id="1" name="후기 ID"/>
    <x:tableColumn id="2" name="제품군"/>
    <x:tableColumn id="3" name="표시 모델"/>
    <x:tableColumn id="4" name="구매 모델"/>
    <x:tableColumn id="5" name="기존 분할"/>
    <x:tableColumn id="6" name="구매일"/>
    <x:tableColumn id="7" name="게시일"/>
    <x:tableColumn id="8" name="별점"/>
    <x:tableColumn id="9" name="수집된 원문"/>
    <x:tableColumn id="10" name="공식 출처 URL"/>
    <x:tableColumn id="11" name="원문 위치"/>
    <x:tableColumn id="12" name="설명서 판본"/>
    <x:tableColumn id="13" name="원문 SHA256"/>
    <x:tableColumn id="14" name="정확 SKU 판단 적격"/>
    <x:tableColumn id="15" name="기존 중복 그룹"/>
    <x:tableColumn id="16" name="수집 시각"/>
    <x:tableColumn id="17" name="기존 품질 표시"/>
    <x:tableColumn id="18" name="독립 사용 승인"/>
    <x:tableColumn id="19" name="원자료 구분"/>
  </x:tableColumns>
  <x:tableStyleInfo name="TableStyleMedium2" showFirstColumn="0" showLastColumn="0" showRowStripes="1" showColumnStripes="0"/>
</x:table>
</file>

<file path=xl/tables/table2.xml><?xml version="1.0" encoding="utf-8"?>
<x:table xmlns:x="http://schemas.openxmlformats.org/spreadsheetml/2006/main" id="2" name="OriginalObservations" displayName="OriginalObservations" ref="A4:H243" headerRowCount="1" totalsRowCount="0" totalsRowShown="0">
  <x:tableColumns count="8">
    <x:tableColumn id="1" name="원자료"/>
    <x:tableColumn id="2" name="JSON 행(0부터)"/>
    <x:tableColumn id="3" name="후기 ID"/>
    <x:tableColumn id="4" name="기존 분할"/>
    <x:tableColumn id="5" name="추가 중복 관측"/>
    <x:tableColumn id="6" name="정렬"/>
    <x:tableColumn id="7" name="본문 SHA256"/>
    <x:tableColumn id="8" name="출처 URL"/>
  </x:tableColumns>
  <x:tableStyleInfo name="TableStyleMedium2" showFirstColumn="0" showLastColumn="0" showRowStripes="1" showColumnStripes="0"/>
</x:table>
</file>

<file path=xl/tables/table3.xml><?xml version="1.0" encoding="utf-8"?>
<x:table xmlns:x="http://schemas.openxmlformats.org/spreadsheetml/2006/main" id="3" name="DisplayedProducts" displayName="DisplayedProducts" ref="A4:G22" headerRowCount="1" totalsRowCount="0" totalsRowShown="0">
  <x:tableColumns count="7">
    <x:tableColumn id="1" name="표시 모델"/>
    <x:tableColumn id="2" name="제품군"/>
    <x:tableColumn id="3" name="제품명"/>
    <x:tableColumn id="4" name="고유 후기"/>
    <x:tableColumn id="5" name="참조 설명서 판본"/>
    <x:tableColumn id="6" name="판본 확인 상태"/>
    <x:tableColumn id="7" name="제품 페이지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6916e7b4324556" /></Relationships>
</file>

<file path=xl/worksheets/_rels/sheet3.xml.rels>&#65279;<?xml version="1.0" encoding="utf-8"?><Relationships xmlns="http://schemas.openxmlformats.org/package/2006/relationships"><Relationship Type="http://schemas.openxmlformats.org/officeDocument/2006/relationships/table" Target="/xl/tables/table2.xml" Id="R4b7b55b9bee74844" /></Relationships>
</file>

<file path=xl/worksheets/_rels/sheet4.xml.rels>&#65279;<?xml version="1.0" encoding="utf-8"?><Relationships xmlns="http://schemas.openxmlformats.org/package/2006/relationships"><Relationship Type="http://schemas.openxmlformats.org/officeDocument/2006/relationships/table" Target="/xl/tables/table3.xml" Id="Rca912edf0f77453c" /></Relationships>
</file>

<file path=xl/worksheets/sheet1.xml><?xml version="1.0" encoding="utf-8"?>
<x:worksheet xmlns:x="http://schemas.openxmlformats.org/spreadsheetml/2006/main">
  <x:sheetViews>
    <x:sheetView showGridLines="0" workbookViewId="0"/>
  </x:sheetViews>
  <x:sheetFormatPr defaultRowHeight="15"/>
  <x:cols>
    <x:col min="1" max="1" width="31.8799991607666" hidden="0" customWidth="1"/>
    <x:col min="2" max="2" width="10.630000114440918" hidden="0" customWidth="1"/>
    <x:col min="3" max="3" width="76.25" hidden="0" customWidth="1"/>
    <x:col min="4" max="4" width="63.75" hidden="0" customWidth="1"/>
  </x:cols>
  <x:sheetData>
    <x:row r="1">
      <x:c r="A1" s="2" t="str">
        <x:v>LG 공개 리뷰 통합</x:v>
      </x:c>
      <x:c r="B1" s="1"/>
      <x:c r="C1" s="1"/>
      <x:c r="D1" s="1"/>
    </x:row>
    <x:row r="2" ht="57" customHeight="1">
      <x:c r="A2" s="4" t="str">
        <x:v>2026-10-07 수집 자료. 원문·중복·기존 분할을 보존한다. 노란 칸의 빈 값은 미확인이다.</x:v>
      </x:c>
      <x:c r="B2" s="1"/>
      <x:c r="C2" s="1"/>
      <x:c r="D2" s="1"/>
    </x:row>
    <x:row r="3">
      <x:c r="A3" s="1"/>
      <x:c r="B3" s="1"/>
      <x:c r="C3" s="1"/>
      <x:c r="D3" s="1"/>
    </x:row>
    <x:row r="4" ht="34.5" customHeight="1">
      <x:c r="A4" s="7" t="str">
        <x:v>항목</x:v>
      </x:c>
      <x:c r="B4" s="7" t="str">
        <x:v>건수</x:v>
      </x:c>
      <x:c r="C4" s="7" t="str">
        <x:v>적용 범위</x:v>
      </x:c>
      <x:c r="D4" s="7" t="str">
        <x:v>근거 URL</x:v>
      </x:c>
    </x:row>
    <x:row r="5" ht="36" customHeight="1">
      <x:c r="A5" s="3" t="str">
        <x:v>고유 후기</x:v>
      </x:c>
      <x:c r="B5" s="25" t="n">
        <x:f>COUNTA('리뷰'!A5:A242)</x:f>
        <x:v>238</x:v>
      </x:c>
      <x:c r="C5" s="3" t="str">
        <x:v>179건 + 신규 59건</x:v>
      </x:c>
      <x:c r="D5" s="3" t="str">
        <x:v>https://github.com/2026-LG-kitchen-chicken-team/lg-ax-2026/blob/58feb9c30fc5faae1cc8acfb0ff409106a6d7174/data/research/r5-public-reviews-20261007/balanced-pilot-v2/manifest.json</x:v>
      </x:c>
    </x:row>
    <x:row r="6" ht="36" customHeight="1">
      <x:c r="A6" s="3" t="str">
        <x:v>원 관측</x:v>
      </x:c>
      <x:c r="B6" s="25" t="n">
        <x:f>COUNTA('관측'!C5:C243)</x:f>
        <x:v>239</x:v>
      </x:c>
      <x:c r="C6" s="3" t="str">
        <x:v>179건 + 60건의 원 관측</x:v>
      </x:c>
      <x:c r="D6" s="3" t="str">
        <x:v>https://github.com/2026-LG-kitchen-chicken-team/lg-ax-2026/blob/58feb9c30fc5faae1cc8acfb0ff409106a6d7174/data/research/r5-public-reviews-20261007/balanced-pilot-v2/manifest.json</x:v>
      </x:c>
    </x:row>
    <x:row r="7" ht="36" customHeight="1">
      <x:c r="A7" s="3" t="str">
        <x:v>추가 중복 관측</x:v>
      </x:c>
      <x:c r="B7" s="25" t="n">
        <x:f>B6-B5</x:f>
        <x:v>1</x:v>
      </x:c>
      <x:c r="C7" s="3" t="str">
        <x:v>같은 후기 ID 860977의 추가 관측</x:v>
      </x:c>
      <x:c r="D7" s="3" t="str">
        <x:v>https://github.com/2026-LG-kitchen-chicken-team/lg-ax-2026/blob/58feb9c30fc5faae1cc8acfb0ff409106a6d7174/data/research/r5-public-reviews-20261007/balanced-pilot-v2/manifest.json</x:v>
      </x:c>
    </x:row>
    <x:row r="8" ht="36" customHeight="1">
      <x:c r="A8" s="3" t="str">
        <x:v>개발 자료</x:v>
      </x:c>
      <x:c r="B8" s="25" t="n">
        <x:f>COUNTIF('리뷰'!E5:E242,"development")</x:f>
        <x:v>141</x:v>
      </x:c>
      <x:c r="C8" s="3" t="str">
        <x:v>제품군 연구 입력만 사용</x:v>
      </x:c>
      <x:c r="D8" s="3" t="str">
        <x:v>https://github.com/2026-LG-kitchen-chicken-team/lg-ax-2026/blob/58feb9c30fc5faae1cc8acfb0ff409106a6d7174/data/research/r5-public-reviews-20261007/balanced-pilot-v2/manifest.json</x:v>
      </x:c>
    </x:row>
    <x:row r="9" ht="36" customHeight="1">
      <x:c r="A9" s="3" t="str">
        <x:v>독립 평가 후보</x:v>
      </x:c>
      <x:c r="B9" s="25" t="n">
        <x:f>COUNTIF('리뷰'!E5:E242,"independent_evaluation")</x:f>
        <x:v>36</x:v>
      </x:c>
      <x:c r="C9" s="3" t="str">
        <x:v>독립성·Gold 미승인. 개발 입력에서 제외</x:v>
      </x:c>
      <x:c r="D9" s="3" t="str">
        <x:v>https://github.com/2026-LG-kitchen-chicken-team/lg-ax-2026/blob/58feb9c30fc5faae1cc8acfb0ff409106a6d7174/data/research/r5-public-reviews-20261007/balanced-pilot-v2/manifest.json</x:v>
      </x:c>
    </x:row>
    <x:row r="10" ht="36" customHeight="1">
      <x:c r="A10" s="3" t="str">
        <x:v>시연 후보</x:v>
      </x:c>
      <x:c r="B10" s="25" t="n">
        <x:f>COUNTIF('리뷰'!E5:E242,"demonstration")</x:f>
        <x:v>49</x:v>
      </x:c>
      <x:c r="C10" s="3" t="str">
        <x:v>개발 입력에서 제외. 노출 2그룹의 별도 승인 보류</x:v>
      </x:c>
      <x:c r="D10" s="3" t="str">
        <x:v>https://github.com/2026-LG-kitchen-chicken-team/lg-ax-2026/blob/58feb9c30fc5faae1cc8acfb0ff409106a6d7174/data/research/r5-public-reviews-20261007/balanced-pilot-v2/manifest.json</x:v>
      </x:c>
    </x:row>
    <x:row r="11" ht="36" customHeight="1">
      <x:c r="A11" s="3" t="str">
        <x:v>격리 자료</x:v>
      </x:c>
      <x:c r="B11" s="25" t="n">
        <x:f>COUNTIF('리뷰'!E5:E242,"quarantine")</x:f>
        <x:v>12</x:v>
      </x:c>
      <x:c r="C11" s="3" t="str">
        <x:v>타품목·페이지 연결 불일치·개인정보 표시 보존</x:v>
      </x:c>
      <x:c r="D11" s="3" t="str">
        <x:v>https://github.com/2026-LG-kitchen-chicken-team/lg-ax-2026/blob/58feb9c30fc5faae1cc8acfb0ff409106a6d7174/data/research/r5-public-reviews-20261007/balanced-pilot-v2/manifest.json</x:v>
      </x:c>
    </x:row>
    <x:row r="12" ht="36" customHeight="1">
      <x:c r="A12" s="3" t="str">
        <x:v>연구 분모</x:v>
      </x:c>
      <x:c r="B12" s="25" t="n">
        <x:f>B5-B11</x:f>
        <x:v>226</x:v>
      </x:c>
      <x:c r="C12" s="3" t="str">
        <x:v>고유238에서 격리12 제외. 전체 시장의 표본 아님</x:v>
      </x:c>
      <x:c r="D12" s="3" t="str">
        <x:v>https://github.com/2026-LG-kitchen-chicken-team/lg-ax-2026/blob/58feb9c30fc5faae1cc8acfb0ff409106a6d7174/data/research/r5-public-reviews-20261007/balanced-pilot-v2/manifest.json</x:v>
      </x:c>
    </x:row>
    <x:row r="13" ht="36" customHeight="1">
      <x:c r="A13" s="3" t="str">
        <x:v>확인 구매 모델</x:v>
      </x:c>
      <x:c r="B13" s="25" t="n">
        <x:f>B5-COUNTBLANK('리뷰'!D5:D242)</x:f>
        <x:v>0</x:v>
      </x:c>
      <x:c r="C13" s="3" t="str">
        <x:v>제품 페이지의 모델을 구매 SKU로 승격하지 않음</x:v>
      </x:c>
      <x:c r="D13" s="3" t="str">
        <x:v>https://github.com/2026-LG-kitchen-chicken-team/lg-ax-2026/blob/58feb9c30fc5faae1cc8acfb0ff409106a6d7174/data/research/r5-public-reviews-20261007/balanced-pilot-v2/manifest.json</x:v>
      </x:c>
    </x:row>
    <x:row r="14" ht="36" customHeight="1">
      <x:c r="A14" s="3" t="str">
        <x:v>확인 게시일</x:v>
      </x:c>
      <x:c r="B14" s="25" t="n">
        <x:f>B5-COUNTBLANK('리뷰'!G5:G242)</x:f>
        <x:v>0</x:v>
      </x:c>
      <x:c r="C14" s="3" t="str">
        <x:v>구매일은 게시일을 대신하지 않음</x:v>
      </x:c>
      <x:c r="D14" s="3" t="str">
        <x:v>https://github.com/2026-LG-kitchen-chicken-team/lg-ax-2026/blob/58feb9c30fc5faae1cc8acfb0ff409106a6d7174/data/research/r5-public-reviews-20261007/balanced-pilot-v2/manifest.json</x:v>
      </x:c>
    </x:row>
    <x:row r="15" ht="36" customHeight="1">
      <x:c r="A15" s="3" t="str">
        <x:v>정확 SKU 판단 적격</x:v>
      </x:c>
      <x:c r="B15" s="25" t="n">
        <x:f>COUNTIF('리뷰'!N5:N242,TRUE)</x:f>
        <x:v>0</x:v>
      </x:c>
      <x:c r="C15" s="3" t="str">
        <x:v>기존 정확 모델 실행 gate 유지</x:v>
      </x:c>
      <x:c r="D15" s="3" t="str">
        <x:v>https://github.com/2026-LG-kitchen-chicken-team/lg-ax-2026/blob/58feb9c30fc5faae1cc8acfb0ff409106a6d7174/data/research/r5-public-reviews-20261007/balanced-pilot-v2/manifest.json</x:v>
      </x:c>
    </x:row>
    <x:row r="16" ht="36" customHeight="1">
      <x:c r="A16" s="3" t="str">
        <x:v>1점 후기</x:v>
      </x:c>
      <x:c r="B16" s="25" t="n">
        <x:f>COUNTIF('리뷰'!H5:H242,1)</x:f>
        <x:v>22</x:v>
      </x:c>
      <x:c r="C16" s="3" t="str">
        <x:v>별점 분포. 감정 판정이 아님</x:v>
      </x:c>
      <x:c r="D16" s="3" t="str">
        <x:v>https://github.com/2026-LG-kitchen-chicken-team/lg-ax-2026/blob/58feb9c30fc5faae1cc8acfb0ff409106a6d7174/data/research/r5-public-reviews-20261007/balanced-pilot-v2/manifest.json</x:v>
      </x:c>
    </x:row>
    <x:row r="17" ht="36" customHeight="1">
      <x:c r="A17" s="3" t="str">
        <x:v>2점 후기</x:v>
      </x:c>
      <x:c r="B17" s="25" t="n">
        <x:f>COUNTIF('리뷰'!H5:H242,2)</x:f>
        <x:v>2</x:v>
      </x:c>
      <x:c r="C17" s="3" t="str">
        <x:v>별점 분포. 감정 판정이 아님</x:v>
      </x:c>
      <x:c r="D17" s="3" t="str">
        <x:v>https://github.com/2026-LG-kitchen-chicken-team/lg-ax-2026/blob/58feb9c30fc5faae1cc8acfb0ff409106a6d7174/data/research/r5-public-reviews-20261007/balanced-pilot-v2/manifest.json</x:v>
      </x:c>
    </x:row>
    <x:row r="18" ht="36" customHeight="1">
      <x:c r="A18" s="3" t="str">
        <x:v>3점 후기</x:v>
      </x:c>
      <x:c r="B18" s="25" t="n">
        <x:f>COUNTIF('리뷰'!H5:H242,3)</x:f>
        <x:v>6</x:v>
      </x:c>
      <x:c r="C18" s="3" t="str">
        <x:v>별점 분포. 감정 판정이 아님</x:v>
      </x:c>
      <x:c r="D18" s="3" t="str">
        <x:v>https://github.com/2026-LG-kitchen-chicken-team/lg-ax-2026/blob/58feb9c30fc5faae1cc8acfb0ff409106a6d7174/data/research/r5-public-reviews-20261007/balanced-pilot-v2/manifest.json</x:v>
      </x:c>
    </x:row>
    <x:row r="19" ht="36" customHeight="1">
      <x:c r="A19" s="3" t="str">
        <x:v>4점 후기</x:v>
      </x:c>
      <x:c r="B19" s="25" t="n">
        <x:f>COUNTIF('리뷰'!H5:H242,4)</x:f>
        <x:v>0</x:v>
      </x:c>
      <x:c r="C19" s="3" t="str">
        <x:v>별점 분포. 감정 판정이 아님</x:v>
      </x:c>
      <x:c r="D19" s="3" t="str">
        <x:v>https://github.com/2026-LG-kitchen-chicken-team/lg-ax-2026/blob/58feb9c30fc5faae1cc8acfb0ff409106a6d7174/data/research/r5-public-reviews-20261007/balanced-pilot-v2/manifest.json</x:v>
      </x:c>
    </x:row>
    <x:row r="20" ht="36" customHeight="1">
      <x:c r="A20" s="3" t="str">
        <x:v>5점 후기</x:v>
      </x:c>
      <x:c r="B20" s="25" t="n">
        <x:f>COUNTIF('리뷰'!H5:H242,5)</x:f>
        <x:v>208</x:v>
      </x:c>
      <x:c r="C20" s="3" t="str">
        <x:v>기존 추천순179건은 전부5점</x:v>
      </x:c>
      <x:c r="D20" s="3" t="str">
        <x:v>https://github.com/2026-LG-kitchen-chicken-team/lg-ax-2026/blob/58feb9c30fc5faae1cc8acfb0ff409106a6d7174/data/research/r5-public-reviews-20261007/balanced-pilot-v2/manifest.json</x:v>
      </x:c>
    </x:row>
    <x:row r="21" ht="36" customHeight="1">
      <x:c r="A21" s="3" t="str">
        <x:v>월별 게시일 분모</x:v>
      </x:c>
      <x:c r="B21" s="25" t="n">
        <x:f>B14</x:f>
        <x:v>0</x:v>
      </x:c>
      <x:c r="C21" s="3" t="str">
        <x:v>게시일 미확인으로 월·계절 동향 산출 불가</x:v>
      </x:c>
      <x:c r="D21" s="3" t="str">
        <x:v>https://github.com/2026-LG-kitchen-chicken-team/lg-ax-2026/blob/58feb9c30fc5faae1cc8acfb0ff409106a6d7174/data/research/r5-public-reviews-20261007/balanced-pilot-v2/manifest.json</x:v>
      </x:c>
    </x:row>
    <x:row r="22">
      <x:c r="A22" s="1"/>
      <x:c r="B22" s="1"/>
      <x:c r="C22" s="1"/>
      <x:c r="D22" s="1"/>
    </x:row>
    <x:row r="23">
      <x:c r="A23" s="1"/>
      <x:c r="B23" s="1"/>
      <x:c r="C23" s="1"/>
      <x:c r="D23" s="1"/>
    </x:row>
    <x:row r="24">
      <x:c r="A24" s="26" t="str">
        <x:v>사용 조건</x:v>
      </x:c>
      <x:c r="B24" s="26"/>
      <x:c r="C24" s="26" t="str">
        <x:v>내용</x:v>
      </x:c>
      <x:c r="D24" s="1"/>
    </x:row>
    <x:row r="25" ht="48" customHeight="1">
      <x:c r="A25" s="3" t="str">
        <x:v>현재 실행 묶음</x:v>
      </x:c>
      <x:c r="B25" s="3"/>
      <x:c r="C25" s="3" t="str">
        <x:v>개발141건을 제품군별 조사 입력으로 분리. 평가·시연·격리 원문은 포함하지 않음.</x:v>
      </x:c>
      <x:c r="D25" s="1"/>
    </x:row>
    <x:row r="26" ht="48" customHeight="1">
      <x:c r="A26" s="3" t="str">
        <x:v>Agent 계약 연결</x:v>
      </x:c>
      <x:c r="B26" s="3"/>
      <x:c r="C26" s="3" t="str">
        <x:v>PM P0 계약 수신. 실행 입력3개 규격 검사 통과. 실제 모델 실행·서버 등록0회.</x:v>
      </x:c>
      <x:c r="D26" s="1"/>
    </x:row>
    <x:row r="27" ht="48" customHeight="1">
      <x:c r="A27" s="3" t="str">
        <x:v>기존 정확 모델 입력</x:v>
      </x:c>
      <x:c r="B27" s="3"/>
      <x:c r="C27" s="3" t="str">
        <x:v>설명서3개·기능9개·근거21개·리뷰0건의 기존 입력을 별도로 보존.</x:v>
      </x:c>
      <x:c r="D27" s="1"/>
    </x:row>
    <x:row r="28" ht="48" customHeight="1">
      <x:c r="A28" s="3" t="str">
        <x:v>독립 승인</x:v>
      </x:c>
      <x:c r="B28" s="3"/>
      <x:c r="C28" s="3" t="str">
        <x:v>기존 연구 split는 보존하지만 평가36·시연49의 사용 승인을 뜻하지 않음.</x:v>
      </x:c>
      <x:c r="D28" s="1"/>
    </x:row>
    <x:row r="29" ht="48" customHeight="1">
      <x:c r="A29" s="3" t="str">
        <x:v>자료 성격</x:v>
      </x:c>
      <x:c r="B29" s="3"/>
      <x:c r="C29" s="3" t="str">
        <x:v>실제 공개 후기. 새 합성 후기·감정 정답·토픽 정답을 만들지 않음.</x:v>
      </x:c>
      <x:c r="D29" s="1"/>
    </x:row>
    <x:row r="30">
      <x:c r="A30" s="1"/>
      <x:c r="B30" s="1"/>
      <x:c r="C30" s="1"/>
      <x:c r="D30" s="1"/>
    </x:row>
    <x:row r="31">
      <x:c r="A31" s="1"/>
      <x:c r="B31" s="1"/>
      <x:c r="C31" s="1"/>
      <x:c r="D31" s="1"/>
    </x:row>
    <x:row r="32">
      <x:c r="A32" s="1"/>
      <x:c r="B32" s="1"/>
      <x:c r="C32" s="1"/>
      <x:c r="D32" s="1"/>
    </x:row>
    <x:row r="33">
      <x:c r="A33" s="1"/>
      <x:c r="B33" s="1"/>
      <x:c r="C33" s="1"/>
      <x:c r="D33" s="1"/>
    </x:row>
    <x:row r="34">
      <x:c r="A34" s="1"/>
      <x:c r="B34" s="1"/>
      <x:c r="C34" s="1"/>
      <x:c r="D34" s="1"/>
    </x:row>
    <x:row r="35">
      <x:c r="A35" s="1"/>
      <x:c r="B35" s="1"/>
      <x:c r="C35" s="1"/>
      <x:c r="D35" s="1"/>
    </x:row>
    <x:row r="36">
      <x:c r="A36" s="1"/>
      <x:c r="B36" s="1"/>
      <x:c r="C36" s="1"/>
      <x:c r="D36" s="1"/>
    </x:row>
    <x:row r="37">
      <x:c r="A37" s="1"/>
      <x:c r="B37" s="1"/>
      <x:c r="C37" s="1"/>
      <x:c r="D37" s="1"/>
    </x:row>
    <x:row r="38">
      <x:c r="A38" s="1"/>
      <x:c r="B38" s="1"/>
      <x:c r="C38" s="1"/>
      <x:c r="D38" s="1"/>
    </x:row>
    <x:row r="39">
      <x:c r="A39" s="1"/>
      <x:c r="B39" s="1"/>
      <x:c r="C39" s="1"/>
      <x:c r="D39" s="1"/>
    </x:row>
    <x:row r="40">
      <x:c r="A40" s="1"/>
      <x:c r="B40" s="1"/>
      <x:c r="C40" s="1"/>
      <x:c r="D40" s="1"/>
    </x:row>
    <x:row r="41">
      <x:c r="A41" s="1"/>
      <x:c r="B41" s="1"/>
      <x:c r="C41" s="1"/>
      <x:c r="D41" s="1"/>
    </x:row>
    <x:row r="42">
      <x:c r="A42" s="1"/>
      <x:c r="B42" s="1"/>
      <x:c r="C42" s="1"/>
      <x:c r="D42" s="1"/>
    </x:row>
    <x:row r="43">
      <x:c r="A43" s="1"/>
      <x:c r="B43" s="1"/>
      <x:c r="C43" s="1"/>
      <x:c r="D43" s="1"/>
    </x:row>
    <x:row r="44">
      <x:c r="A44" s="1"/>
      <x:c r="B44" s="1"/>
      <x:c r="C44" s="1"/>
      <x:c r="D44" s="1"/>
    </x:row>
    <x:row r="45">
      <x:c r="A45" s="1"/>
      <x:c r="B45" s="1"/>
      <x:c r="C45" s="1"/>
      <x:c r="D45" s="1"/>
    </x:row>
    <x:row r="46">
      <x:c r="A46" s="1"/>
      <x:c r="B46" s="1"/>
      <x:c r="C46" s="1"/>
      <x:c r="D46" s="1"/>
    </x:row>
    <x:row r="47">
      <x:c r="A47" s="1"/>
      <x:c r="B47" s="1"/>
      <x:c r="C47" s="1"/>
      <x:c r="D47" s="1"/>
    </x:row>
    <x:row r="48">
      <x:c r="A48" s="1"/>
      <x:c r="B48" s="1"/>
      <x:c r="C48" s="1"/>
      <x:c r="D48" s="1"/>
    </x:row>
    <x:row r="49">
      <x:c r="A49" s="1"/>
      <x:c r="B49" s="1"/>
      <x:c r="C49" s="1"/>
      <x:c r="D49" s="1"/>
    </x:row>
    <x:row r="50">
      <x:c r="A50" s="1"/>
      <x:c r="B50" s="1"/>
      <x:c r="C50" s="1"/>
      <x:c r="D50" s="1"/>
    </x:row>
    <x:row r="51">
      <x:c r="A51" s="1"/>
      <x:c r="B51" s="1"/>
      <x:c r="C51" s="1"/>
      <x:c r="D51" s="1"/>
    </x:row>
    <x:row r="52">
      <x:c r="A52" s="1"/>
      <x:c r="B52" s="1"/>
      <x:c r="C52" s="1"/>
      <x:c r="D52" s="1"/>
    </x:row>
    <x:row r="53">
      <x:c r="A53" s="1"/>
      <x:c r="B53" s="1"/>
      <x:c r="C53" s="1"/>
      <x:c r="D53" s="1"/>
    </x:row>
    <x:row r="54">
      <x:c r="A54" s="1"/>
      <x:c r="B54" s="1"/>
      <x:c r="C54" s="1"/>
      <x:c r="D54" s="1"/>
    </x:row>
    <x:row r="55">
      <x:c r="A55" s="1"/>
      <x:c r="B55" s="1"/>
      <x:c r="C55" s="1"/>
      <x:c r="D55" s="1"/>
    </x:row>
    <x:row r="56">
      <x:c r="A56" s="1"/>
      <x:c r="B56" s="1"/>
      <x:c r="C56" s="1"/>
      <x:c r="D56" s="1"/>
    </x:row>
    <x:row r="57">
      <x:c r="A57" s="1"/>
      <x:c r="B57" s="1"/>
      <x:c r="C57" s="1"/>
      <x:c r="D57" s="1"/>
    </x:row>
    <x:row r="58">
      <x:c r="A58" s="1"/>
      <x:c r="B58" s="1"/>
      <x:c r="C58" s="1"/>
      <x:c r="D58" s="1"/>
    </x:row>
    <x:row r="59">
      <x:c r="A59" s="1"/>
      <x:c r="B59" s="1"/>
      <x:c r="C59" s="1"/>
      <x:c r="D59" s="1"/>
    </x:row>
    <x:row r="60">
      <x:c r="A60" s="1"/>
      <x:c r="B60" s="1"/>
      <x:c r="C60" s="1"/>
      <x:c r="D60" s="1"/>
    </x:row>
    <x:row r="61">
      <x:c r="A61" s="1"/>
      <x:c r="B61" s="1"/>
      <x:c r="C61" s="1"/>
      <x:c r="D61" s="1"/>
    </x:row>
    <x:row r="62">
      <x:c r="A62" s="1"/>
      <x:c r="B62" s="1"/>
      <x:c r="C62" s="1"/>
      <x:c r="D62" s="1"/>
    </x:row>
    <x:row r="63">
      <x:c r="A63" s="1"/>
      <x:c r="B63" s="1"/>
      <x:c r="C63" s="1"/>
      <x:c r="D63" s="1"/>
    </x:row>
    <x:row r="64">
      <x:c r="A64" s="1"/>
      <x:c r="B64" s="1"/>
      <x:c r="C64" s="1"/>
      <x:c r="D64" s="1"/>
    </x:row>
    <x:row r="65">
      <x:c r="A65" s="1"/>
      <x:c r="B65" s="1"/>
      <x:c r="C65" s="1"/>
      <x:c r="D65" s="1"/>
    </x:row>
    <x:row r="66">
      <x:c r="A66" s="1"/>
      <x:c r="B66" s="1"/>
      <x:c r="C66" s="1"/>
      <x:c r="D66" s="1"/>
    </x:row>
    <x:row r="67">
      <x:c r="A67" s="1"/>
      <x:c r="B67" s="1"/>
      <x:c r="C67" s="1"/>
      <x:c r="D67" s="1"/>
    </x:row>
    <x:row r="68">
      <x:c r="A68" s="1"/>
      <x:c r="B68" s="1"/>
      <x:c r="C68" s="1"/>
      <x:c r="D68" s="1"/>
    </x:row>
    <x:row r="69">
      <x:c r="A69" s="1"/>
      <x:c r="B69" s="1"/>
      <x:c r="C69" s="1"/>
      <x:c r="D69" s="1"/>
    </x:row>
    <x:row r="70">
      <x:c r="A70" s="1"/>
      <x:c r="B70" s="1"/>
      <x:c r="C70" s="1"/>
      <x:c r="D70" s="1"/>
    </x:row>
    <x:row r="71">
      <x:c r="A71" s="1"/>
      <x:c r="B71" s="1"/>
      <x:c r="C71" s="1"/>
      <x:c r="D71" s="1"/>
    </x:row>
    <x:row r="72">
      <x:c r="A72" s="1"/>
      <x:c r="B72" s="1"/>
      <x:c r="C72" s="1"/>
      <x:c r="D72" s="1"/>
    </x:row>
    <x:row r="73">
      <x:c r="A73" s="1"/>
      <x:c r="B73" s="1"/>
      <x:c r="C73" s="1"/>
      <x:c r="D73" s="1"/>
    </x:row>
    <x:row r="74">
      <x:c r="A74" s="1"/>
      <x:c r="B74" s="1"/>
      <x:c r="C74" s="1"/>
      <x:c r="D74" s="1"/>
    </x:row>
    <x:row r="75">
      <x:c r="A75" s="1"/>
      <x:c r="B75" s="1"/>
      <x:c r="C75" s="1"/>
      <x:c r="D75" s="1"/>
    </x:row>
    <x:row r="76">
      <x:c r="A76" s="1"/>
      <x:c r="B76" s="1"/>
      <x:c r="C76" s="1"/>
      <x:c r="D76" s="1"/>
    </x:row>
    <x:row r="77">
      <x:c r="A77" s="1"/>
      <x:c r="B77" s="1"/>
      <x:c r="C77" s="1"/>
      <x:c r="D77" s="1"/>
    </x:row>
    <x:row r="78">
      <x:c r="A78" s="1"/>
      <x:c r="B78" s="1"/>
      <x:c r="C78" s="1"/>
      <x:c r="D78" s="1"/>
    </x:row>
    <x:row r="79">
      <x:c r="A79" s="1"/>
      <x:c r="B79" s="1"/>
      <x:c r="C79" s="1"/>
      <x:c r="D79" s="1"/>
    </x:row>
    <x:row r="80">
      <x:c r="A80" s="1"/>
      <x:c r="B80" s="1"/>
      <x:c r="C80" s="1"/>
      <x:c r="D80" s="1"/>
    </x:row>
    <x:row r="81">
      <x:c r="A81" s="1"/>
      <x:c r="B81" s="1"/>
      <x:c r="C81" s="1"/>
      <x:c r="D81" s="1"/>
    </x:row>
    <x:row r="82">
      <x:c r="A82" s="1"/>
      <x:c r="B82" s="1"/>
      <x:c r="C82" s="1"/>
      <x:c r="D82" s="1"/>
    </x:row>
    <x:row r="83">
      <x:c r="A83" s="1"/>
      <x:c r="B83" s="1"/>
      <x:c r="C83" s="1"/>
      <x:c r="D83" s="1"/>
    </x:row>
    <x:row r="84">
      <x:c r="A84" s="1"/>
      <x:c r="B84" s="1"/>
      <x:c r="C84" s="1"/>
      <x:c r="D84" s="1"/>
    </x:row>
    <x:row r="85">
      <x:c r="A85" s="1"/>
      <x:c r="B85" s="1"/>
      <x:c r="C85" s="1"/>
      <x:c r="D85" s="1"/>
    </x:row>
    <x:row r="86">
      <x:c r="A86" s="1"/>
      <x:c r="B86" s="1"/>
      <x:c r="C86" s="1"/>
      <x:c r="D86" s="1"/>
    </x:row>
    <x:row r="87">
      <x:c r="A87" s="1"/>
      <x:c r="B87" s="1"/>
      <x:c r="C87" s="1"/>
      <x:c r="D87" s="1"/>
    </x:row>
    <x:row r="88">
      <x:c r="A88" s="1"/>
      <x:c r="B88" s="1"/>
      <x:c r="C88" s="1"/>
      <x:c r="D88" s="1"/>
    </x:row>
    <x:row r="89">
      <x:c r="A89" s="1"/>
      <x:c r="B89" s="1"/>
      <x:c r="C89" s="1"/>
      <x:c r="D89" s="1"/>
    </x:row>
    <x:row r="90">
      <x:c r="A90" s="1"/>
      <x:c r="B90" s="1"/>
      <x:c r="C90" s="1"/>
      <x:c r="D90" s="1"/>
    </x:row>
    <x:row r="91">
      <x:c r="A91" s="1"/>
      <x:c r="B91" s="1"/>
      <x:c r="C91" s="1"/>
      <x:c r="D91" s="1"/>
    </x:row>
    <x:row r="92">
      <x:c r="A92" s="1"/>
      <x:c r="B92" s="1"/>
      <x:c r="C92" s="1"/>
      <x:c r="D92" s="1"/>
    </x:row>
    <x:row r="93">
      <x:c r="A93" s="1"/>
      <x:c r="B93" s="1"/>
      <x:c r="C93" s="1"/>
      <x:c r="D93" s="1"/>
    </x:row>
    <x:row r="94">
      <x:c r="A94" s="1"/>
      <x:c r="B94" s="1"/>
      <x:c r="C94" s="1"/>
      <x:c r="D94" s="1"/>
    </x:row>
    <x:row r="95">
      <x:c r="A95" s="1"/>
      <x:c r="B95" s="1"/>
      <x:c r="C95" s="1"/>
      <x:c r="D95" s="1"/>
    </x:row>
    <x:row r="96">
      <x:c r="A96" s="1"/>
      <x:c r="B96" s="1"/>
      <x:c r="C96" s="1"/>
      <x:c r="D96" s="1"/>
    </x:row>
    <x:row r="97">
      <x:c r="A97" s="1"/>
      <x:c r="B97" s="1"/>
      <x:c r="C97" s="1"/>
      <x:c r="D97" s="1"/>
    </x:row>
    <x:row r="98">
      <x:c r="A98" s="1"/>
      <x:c r="B98" s="1"/>
      <x:c r="C98" s="1"/>
      <x:c r="D98" s="1"/>
    </x:row>
    <x:row r="99">
      <x:c r="A99" s="1"/>
      <x:c r="B99" s="1"/>
      <x:c r="C99" s="1"/>
      <x:c r="D99" s="1"/>
    </x:row>
    <x:row r="100">
      <x:c r="A100" s="1"/>
      <x:c r="B100" s="1"/>
      <x:c r="C100" s="1"/>
      <x:c r="D100" s="1"/>
    </x:row>
    <x:row r="101">
      <x:c r="A101" s="1"/>
      <x:c r="B101" s="1"/>
      <x:c r="C101" s="1"/>
      <x:c r="D101" s="1"/>
    </x:row>
    <x:row r="102">
      <x:c r="A102" s="1"/>
      <x:c r="B102" s="1"/>
      <x:c r="C102" s="1"/>
      <x:c r="D102" s="1"/>
    </x:row>
    <x:row r="103">
      <x:c r="A103" s="1"/>
      <x:c r="B103" s="1"/>
      <x:c r="C103" s="1"/>
      <x:c r="D103" s="1"/>
    </x:row>
    <x:row r="104">
      <x:c r="A104" s="1"/>
      <x:c r="B104" s="1"/>
      <x:c r="C104" s="1"/>
      <x:c r="D104" s="1"/>
    </x:row>
    <x:row r="105">
      <x:c r="A105" s="1"/>
      <x:c r="B105" s="1"/>
      <x:c r="C105" s="1"/>
      <x:c r="D105" s="1"/>
    </x:row>
    <x:row r="106">
      <x:c r="A106" s="1"/>
      <x:c r="B106" s="1"/>
      <x:c r="C106" s="1"/>
      <x:c r="D106" s="1"/>
    </x:row>
    <x:row r="107">
      <x:c r="A107" s="1"/>
      <x:c r="B107" s="1"/>
      <x:c r="C107" s="1"/>
      <x:c r="D107" s="1"/>
    </x:row>
    <x:row r="108">
      <x:c r="A108" s="1"/>
      <x:c r="B108" s="1"/>
      <x:c r="C108" s="1"/>
      <x:c r="D108" s="1"/>
    </x:row>
    <x:row r="109">
      <x:c r="A109" s="1"/>
      <x:c r="B109" s="1"/>
      <x:c r="C109" s="1"/>
      <x:c r="D109" s="1"/>
    </x:row>
    <x:row r="110">
      <x:c r="A110" s="1"/>
      <x:c r="B110" s="1"/>
      <x:c r="C110" s="1"/>
      <x:c r="D110" s="1"/>
    </x:row>
    <x:row r="111">
      <x:c r="A111" s="1"/>
      <x:c r="B111" s="1"/>
      <x:c r="C111" s="1"/>
      <x:c r="D111" s="1"/>
    </x:row>
    <x:row r="112">
      <x:c r="A112" s="1"/>
      <x:c r="B112" s="1"/>
      <x:c r="C112" s="1"/>
      <x:c r="D112" s="1"/>
    </x:row>
    <x:row r="113">
      <x:c r="A113" s="1"/>
      <x:c r="B113" s="1"/>
      <x:c r="C113" s="1"/>
      <x:c r="D113" s="1"/>
    </x:row>
    <x:row r="114">
      <x:c r="A114" s="1"/>
      <x:c r="B114" s="1"/>
      <x:c r="C114" s="1"/>
      <x:c r="D114" s="1"/>
    </x:row>
    <x:row r="115">
      <x:c r="A115" s="1"/>
      <x:c r="B115" s="1"/>
      <x:c r="C115" s="1"/>
      <x:c r="D115" s="1"/>
    </x:row>
    <x:row r="116">
      <x:c r="A116" s="1"/>
      <x:c r="B116" s="1"/>
      <x:c r="C116" s="1"/>
      <x:c r="D116" s="1"/>
    </x:row>
    <x:row r="117">
      <x:c r="A117" s="1"/>
      <x:c r="B117" s="1"/>
      <x:c r="C117" s="1"/>
      <x:c r="D117" s="1"/>
    </x:row>
    <x:row r="118">
      <x:c r="A118" s="1"/>
      <x:c r="B118" s="1"/>
      <x:c r="C118" s="1"/>
      <x:c r="D118" s="1"/>
    </x:row>
    <x:row r="119">
      <x:c r="A119" s="1"/>
      <x:c r="B119" s="1"/>
      <x:c r="C119" s="1"/>
      <x:c r="D119" s="1"/>
    </x:row>
    <x:row r="120">
      <x:c r="A120" s="1"/>
      <x:c r="B120" s="1"/>
      <x:c r="C120" s="1"/>
      <x:c r="D120" s="1"/>
    </x:row>
    <x:row r="121">
      <x:c r="A121" s="1"/>
      <x:c r="B121" s="1"/>
      <x:c r="C121" s="1"/>
      <x:c r="D121" s="1"/>
    </x:row>
    <x:row r="122">
      <x:c r="A122" s="1"/>
      <x:c r="B122" s="1"/>
      <x:c r="C122" s="1"/>
      <x:c r="D122" s="1"/>
    </x:row>
    <x:row r="123">
      <x:c r="A123" s="1"/>
      <x:c r="B123" s="1"/>
      <x:c r="C123" s="1"/>
      <x:c r="D123" s="1"/>
    </x:row>
    <x:row r="124">
      <x:c r="A124" s="1"/>
      <x:c r="B124" s="1"/>
      <x:c r="C124" s="1"/>
      <x:c r="D124" s="1"/>
    </x:row>
    <x:row r="125">
      <x:c r="A125" s="1"/>
      <x:c r="B125" s="1"/>
      <x:c r="C125" s="1"/>
      <x:c r="D125" s="1"/>
    </x:row>
    <x:row r="126">
      <x:c r="A126" s="1"/>
      <x:c r="B126" s="1"/>
      <x:c r="C126" s="1"/>
      <x:c r="D126" s="1"/>
    </x:row>
    <x:row r="127">
      <x:c r="A127" s="1"/>
      <x:c r="B127" s="1"/>
      <x:c r="C127" s="1"/>
      <x:c r="D127" s="1"/>
    </x:row>
    <x:row r="128">
      <x:c r="A128" s="1"/>
      <x:c r="B128" s="1"/>
      <x:c r="C128" s="1"/>
      <x:c r="D128" s="1"/>
    </x:row>
    <x:row r="129">
      <x:c r="A129" s="1"/>
      <x:c r="B129" s="1"/>
      <x:c r="C129" s="1"/>
      <x:c r="D129" s="1"/>
    </x:row>
    <x:row r="130">
      <x:c r="A130" s="1"/>
      <x:c r="B130" s="1"/>
      <x:c r="C130" s="1"/>
      <x:c r="D130" s="1"/>
    </x:row>
    <x:row r="131">
      <x:c r="A131" s="1"/>
      <x:c r="B131" s="1"/>
      <x:c r="C131" s="1"/>
      <x:c r="D131" s="1"/>
    </x:row>
    <x:row r="132">
      <x:c r="A132" s="1"/>
      <x:c r="B132" s="1"/>
      <x:c r="C132" s="1"/>
      <x:c r="D132" s="1"/>
    </x:row>
    <x:row r="133">
      <x:c r="A133" s="1"/>
      <x:c r="B133" s="1"/>
      <x:c r="C133" s="1"/>
      <x:c r="D133" s="1"/>
    </x:row>
    <x:row r="134">
      <x:c r="A134" s="1"/>
      <x:c r="B134" s="1"/>
      <x:c r="C134" s="1"/>
      <x:c r="D134" s="1"/>
    </x:row>
    <x:row r="135">
      <x:c r="A135" s="1"/>
      <x:c r="B135" s="1"/>
      <x:c r="C135" s="1"/>
      <x:c r="D135" s="1"/>
    </x:row>
    <x:row r="136">
      <x:c r="A136" s="1"/>
      <x:c r="B136" s="1"/>
      <x:c r="C136" s="1"/>
      <x:c r="D136" s="1"/>
    </x:row>
    <x:row r="137">
      <x:c r="A137" s="1"/>
      <x:c r="B137" s="1"/>
      <x:c r="C137" s="1"/>
      <x:c r="D137" s="1"/>
    </x:row>
    <x:row r="138">
      <x:c r="A138" s="1"/>
      <x:c r="B138" s="1"/>
      <x:c r="C138" s="1"/>
      <x:c r="D138" s="1"/>
    </x:row>
    <x:row r="139">
      <x:c r="A139" s="1"/>
      <x:c r="B139" s="1"/>
      <x:c r="C139" s="1"/>
      <x:c r="D139" s="1"/>
    </x:row>
    <x:row r="140">
      <x:c r="A140" s="1"/>
      <x:c r="B140" s="1"/>
      <x:c r="C140" s="1"/>
      <x:c r="D140" s="1"/>
    </x:row>
    <x:row r="141">
      <x:c r="A141" s="1"/>
      <x:c r="B141" s="1"/>
      <x:c r="C141" s="1"/>
      <x:c r="D141" s="1"/>
    </x:row>
    <x:row r="142">
      <x:c r="A142" s="1"/>
      <x:c r="B142" s="1"/>
      <x:c r="C142" s="1"/>
      <x:c r="D142" s="1"/>
    </x:row>
    <x:row r="143">
      <x:c r="A143" s="1"/>
      <x:c r="B143" s="1"/>
      <x:c r="C143" s="1"/>
      <x:c r="D143" s="1"/>
    </x:row>
    <x:row r="144">
      <x:c r="A144" s="1"/>
      <x:c r="B144" s="1"/>
      <x:c r="C144" s="1"/>
      <x:c r="D144" s="1"/>
    </x:row>
    <x:row r="145">
      <x:c r="A145" s="1"/>
      <x:c r="B145" s="1"/>
      <x:c r="C145" s="1"/>
      <x:c r="D145" s="1"/>
    </x:row>
    <x:row r="146">
      <x:c r="A146" s="1"/>
      <x:c r="B146" s="1"/>
      <x:c r="C146" s="1"/>
      <x:c r="D146" s="1"/>
    </x:row>
    <x:row r="147">
      <x:c r="A147" s="1"/>
      <x:c r="B147" s="1"/>
      <x:c r="C147" s="1"/>
      <x:c r="D147" s="1"/>
    </x:row>
    <x:row r="148">
      <x:c r="A148" s="1"/>
      <x:c r="B148" s="1"/>
      <x:c r="C148" s="1"/>
      <x:c r="D148" s="1"/>
    </x:row>
    <x:row r="149">
      <x:c r="A149" s="1"/>
      <x:c r="B149" s="1"/>
      <x:c r="C149" s="1"/>
      <x:c r="D149" s="1"/>
    </x:row>
    <x:row r="150">
      <x:c r="A150" s="1"/>
      <x:c r="B150" s="1"/>
      <x:c r="C150" s="1"/>
      <x:c r="D150" s="1"/>
    </x:row>
    <x:row r="151">
      <x:c r="A151" s="1"/>
      <x:c r="B151" s="1"/>
      <x:c r="C151" s="1"/>
      <x:c r="D151" s="1"/>
    </x:row>
    <x:row r="152">
      <x:c r="A152" s="1"/>
      <x:c r="B152" s="1"/>
      <x:c r="C152" s="1"/>
      <x:c r="D152" s="1"/>
    </x:row>
    <x:row r="153">
      <x:c r="A153" s="1"/>
      <x:c r="B153" s="1"/>
      <x:c r="C153" s="1"/>
      <x:c r="D153" s="1"/>
    </x:row>
    <x:row r="154">
      <x:c r="A154" s="1"/>
      <x:c r="B154" s="1"/>
      <x:c r="C154" s="1"/>
      <x:c r="D154" s="1"/>
    </x:row>
    <x:row r="155">
      <x:c r="A155" s="1"/>
      <x:c r="B155" s="1"/>
      <x:c r="C155" s="1"/>
      <x:c r="D155" s="1"/>
    </x:row>
    <x:row r="156">
      <x:c r="A156" s="1"/>
      <x:c r="B156" s="1"/>
      <x:c r="C156" s="1"/>
      <x:c r="D156" s="1"/>
    </x:row>
    <x:row r="157">
      <x:c r="A157" s="1"/>
      <x:c r="B157" s="1"/>
      <x:c r="C157" s="1"/>
      <x:c r="D157" s="1"/>
    </x:row>
    <x:row r="158">
      <x:c r="A158" s="1"/>
      <x:c r="B158" s="1"/>
      <x:c r="C158" s="1"/>
      <x:c r="D158" s="1"/>
    </x:row>
    <x:row r="159">
      <x:c r="A159" s="1"/>
      <x:c r="B159" s="1"/>
      <x:c r="C159" s="1"/>
      <x:c r="D159" s="1"/>
    </x:row>
    <x:row r="160">
      <x:c r="A160" s="1"/>
      <x:c r="B160" s="1"/>
      <x:c r="C160" s="1"/>
      <x:c r="D160" s="1"/>
    </x:row>
    <x:row r="161">
      <x:c r="A161" s="1"/>
      <x:c r="B161" s="1"/>
      <x:c r="C161" s="1"/>
      <x:c r="D161" s="1"/>
    </x:row>
    <x:row r="162">
      <x:c r="A162" s="1"/>
      <x:c r="B162" s="1"/>
      <x:c r="C162" s="1"/>
      <x:c r="D162" s="1"/>
    </x:row>
    <x:row r="163">
      <x:c r="A163" s="1"/>
      <x:c r="B163" s="1"/>
      <x:c r="C163" s="1"/>
      <x:c r="D163" s="1"/>
    </x:row>
    <x:row r="164">
      <x:c r="A164" s="1"/>
      <x:c r="B164" s="1"/>
      <x:c r="C164" s="1"/>
      <x:c r="D164" s="1"/>
    </x:row>
    <x:row r="165">
      <x:c r="A165" s="1"/>
      <x:c r="B165" s="1"/>
      <x:c r="C165" s="1"/>
      <x:c r="D165" s="1"/>
    </x:row>
    <x:row r="166">
      <x:c r="A166" s="1"/>
      <x:c r="B166" s="1"/>
      <x:c r="C166" s="1"/>
      <x:c r="D166" s="1"/>
    </x:row>
    <x:row r="167">
      <x:c r="A167" s="1"/>
      <x:c r="B167" s="1"/>
      <x:c r="C167" s="1"/>
      <x:c r="D167" s="1"/>
    </x:row>
    <x:row r="168">
      <x:c r="A168" s="1"/>
      <x:c r="B168" s="1"/>
      <x:c r="C168" s="1"/>
      <x:c r="D168" s="1"/>
    </x:row>
    <x:row r="169">
      <x:c r="A169" s="1"/>
      <x:c r="B169" s="1"/>
      <x:c r="C169" s="1"/>
      <x:c r="D169" s="1"/>
    </x:row>
    <x:row r="170">
      <x:c r="A170" s="1"/>
      <x:c r="B170" s="1"/>
      <x:c r="C170" s="1"/>
      <x:c r="D170" s="1"/>
    </x:row>
    <x:row r="171">
      <x:c r="A171" s="1"/>
      <x:c r="B171" s="1"/>
      <x:c r="C171" s="1"/>
      <x:c r="D171" s="1"/>
    </x:row>
    <x:row r="172">
      <x:c r="A172" s="1"/>
      <x:c r="B172" s="1"/>
      <x:c r="C172" s="1"/>
      <x:c r="D172" s="1"/>
    </x:row>
    <x:row r="173">
      <x:c r="A173" s="1"/>
      <x:c r="B173" s="1"/>
      <x:c r="C173" s="1"/>
      <x:c r="D173" s="1"/>
    </x:row>
    <x:row r="174">
      <x:c r="A174" s="1"/>
      <x:c r="B174" s="1"/>
      <x:c r="C174" s="1"/>
      <x:c r="D174" s="1"/>
    </x:row>
    <x:row r="175">
      <x:c r="A175" s="1"/>
      <x:c r="B175" s="1"/>
      <x:c r="C175" s="1"/>
      <x:c r="D175" s="1"/>
    </x:row>
    <x:row r="176">
      <x:c r="A176" s="1"/>
      <x:c r="B176" s="1"/>
      <x:c r="C176" s="1"/>
      <x:c r="D176" s="1"/>
    </x:row>
    <x:row r="177">
      <x:c r="A177" s="1"/>
      <x:c r="B177" s="1"/>
      <x:c r="C177" s="1"/>
      <x:c r="D177" s="1"/>
    </x:row>
    <x:row r="178">
      <x:c r="A178" s="1"/>
      <x:c r="B178" s="1"/>
      <x:c r="C178" s="1"/>
      <x:c r="D178" s="1"/>
    </x:row>
    <x:row r="179">
      <x:c r="A179" s="1"/>
      <x:c r="B179" s="1"/>
      <x:c r="C179" s="1"/>
      <x:c r="D179" s="1"/>
    </x:row>
    <x:row r="180">
      <x:c r="A180" s="1"/>
      <x:c r="B180" s="1"/>
      <x:c r="C180" s="1"/>
      <x:c r="D180" s="1"/>
    </x:row>
    <x:row r="181">
      <x:c r="A181" s="1"/>
      <x:c r="B181" s="1"/>
      <x:c r="C181" s="1"/>
      <x:c r="D181" s="1"/>
    </x:row>
    <x:row r="182">
      <x:c r="A182" s="1"/>
      <x:c r="B182" s="1"/>
      <x:c r="C182" s="1"/>
      <x:c r="D182" s="1"/>
    </x:row>
    <x:row r="183">
      <x:c r="A183" s="1"/>
      <x:c r="B183" s="1"/>
      <x:c r="C183" s="1"/>
      <x:c r="D183" s="1"/>
    </x:row>
    <x:row r="184">
      <x:c r="A184" s="1"/>
      <x:c r="B184" s="1"/>
      <x:c r="C184" s="1"/>
      <x:c r="D184" s="1"/>
    </x:row>
    <x:row r="185">
      <x:c r="A185" s="1"/>
      <x:c r="B185" s="1"/>
      <x:c r="C185" s="1"/>
      <x:c r="D185" s="1"/>
    </x:row>
    <x:row r="186">
      <x:c r="A186" s="1"/>
      <x:c r="B186" s="1"/>
      <x:c r="C186" s="1"/>
      <x:c r="D186" s="1"/>
    </x:row>
    <x:row r="187">
      <x:c r="A187" s="1"/>
      <x:c r="B187" s="1"/>
      <x:c r="C187" s="1"/>
      <x:c r="D187" s="1"/>
    </x:row>
    <x:row r="188">
      <x:c r="A188" s="1"/>
      <x:c r="B188" s="1"/>
      <x:c r="C188" s="1"/>
      <x:c r="D188" s="1"/>
    </x:row>
    <x:row r="189">
      <x:c r="A189" s="1"/>
      <x:c r="B189" s="1"/>
      <x:c r="C189" s="1"/>
      <x:c r="D189" s="1"/>
    </x:row>
    <x:row r="190">
      <x:c r="A190" s="1"/>
      <x:c r="B190" s="1"/>
      <x:c r="C190" s="1"/>
      <x:c r="D190" s="1"/>
    </x:row>
    <x:row r="191">
      <x:c r="A191" s="1"/>
      <x:c r="B191" s="1"/>
      <x:c r="C191" s="1"/>
      <x:c r="D191" s="1"/>
    </x:row>
    <x:row r="192">
      <x:c r="A192" s="1"/>
      <x:c r="B192" s="1"/>
      <x:c r="C192" s="1"/>
      <x:c r="D192" s="1"/>
    </x:row>
    <x:row r="193">
      <x:c r="A193" s="1"/>
      <x:c r="B193" s="1"/>
      <x:c r="C193" s="1"/>
      <x:c r="D193" s="1"/>
    </x:row>
    <x:row r="194">
      <x:c r="A194" s="1"/>
      <x:c r="B194" s="1"/>
      <x:c r="C194" s="1"/>
      <x:c r="D194" s="1"/>
    </x:row>
    <x:row r="195">
      <x:c r="A195" s="1"/>
      <x:c r="B195" s="1"/>
      <x:c r="C195" s="1"/>
      <x:c r="D195" s="1"/>
    </x:row>
    <x:row r="196">
      <x:c r="A196" s="1"/>
      <x:c r="B196" s="1"/>
      <x:c r="C196" s="1"/>
      <x:c r="D196" s="1"/>
    </x:row>
    <x:row r="197">
      <x:c r="A197" s="1"/>
      <x:c r="B197" s="1"/>
      <x:c r="C197" s="1"/>
      <x:c r="D197" s="1"/>
    </x:row>
    <x:row r="198">
      <x:c r="A198" s="1"/>
      <x:c r="B198" s="1"/>
      <x:c r="C198" s="1"/>
      <x:c r="D198" s="1"/>
    </x:row>
    <x:row r="199">
      <x:c r="A199" s="1"/>
      <x:c r="B199" s="1"/>
      <x:c r="C199" s="1"/>
      <x:c r="D199" s="1"/>
    </x:row>
    <x:row r="200">
      <x:c r="A200" s="1"/>
      <x:c r="B200" s="1"/>
      <x:c r="C200" s="1"/>
      <x:c r="D200" s="1"/>
    </x:row>
    <x:row r="201">
      <x:c r="A201" s="1"/>
      <x:c r="B201" s="1"/>
      <x:c r="C201" s="1"/>
      <x:c r="D201" s="1"/>
    </x:row>
    <x:row r="202">
      <x:c r="A202" s="1"/>
      <x:c r="B202" s="1"/>
      <x:c r="C202" s="1"/>
      <x:c r="D202" s="1"/>
    </x:row>
    <x:row r="203">
      <x:c r="A203" s="1"/>
      <x:c r="B203" s="1"/>
      <x:c r="C203" s="1"/>
      <x:c r="D203" s="1"/>
    </x:row>
    <x:row r="204">
      <x:c r="A204" s="1"/>
      <x:c r="B204" s="1"/>
      <x:c r="C204" s="1"/>
      <x:c r="D204" s="1"/>
    </x:row>
    <x:row r="205">
      <x:c r="A205" s="1"/>
      <x:c r="B205" s="1"/>
      <x:c r="C205" s="1"/>
      <x:c r="D205" s="1"/>
    </x:row>
    <x:row r="206">
      <x:c r="A206" s="1"/>
      <x:c r="B206" s="1"/>
      <x:c r="C206" s="1"/>
      <x:c r="D206" s="1"/>
    </x:row>
    <x:row r="207">
      <x:c r="A207" s="1"/>
      <x:c r="B207" s="1"/>
      <x:c r="C207" s="1"/>
      <x:c r="D207" s="1"/>
    </x:row>
    <x:row r="208">
      <x:c r="A208" s="1"/>
      <x:c r="B208" s="1"/>
      <x:c r="C208" s="1"/>
      <x:c r="D208" s="1"/>
    </x:row>
    <x:row r="209">
      <x:c r="A209" s="1"/>
      <x:c r="B209" s="1"/>
      <x:c r="C209" s="1"/>
      <x:c r="D209" s="1"/>
    </x:row>
    <x:row r="210">
      <x:c r="A210" s="1"/>
      <x:c r="B210" s="1"/>
      <x:c r="C210" s="1"/>
      <x:c r="D210" s="1"/>
    </x:row>
    <x:row r="211">
      <x:c r="A211" s="1"/>
      <x:c r="B211" s="1"/>
      <x:c r="C211" s="1"/>
      <x:c r="D211" s="1"/>
    </x:row>
    <x:row r="212">
      <x:c r="A212" s="1"/>
      <x:c r="B212" s="1"/>
      <x:c r="C212" s="1"/>
      <x:c r="D212" s="1"/>
    </x:row>
    <x:row r="213">
      <x:c r="A213" s="1"/>
      <x:c r="B213" s="1"/>
      <x:c r="C213" s="1"/>
      <x:c r="D213" s="1"/>
    </x:row>
    <x:row r="214">
      <x:c r="A214" s="1"/>
      <x:c r="B214" s="1"/>
      <x:c r="C214" s="1"/>
      <x:c r="D214" s="1"/>
    </x:row>
    <x:row r="215">
      <x:c r="A215" s="1"/>
      <x:c r="B215" s="1"/>
      <x:c r="C215" s="1"/>
      <x:c r="D215" s="1"/>
    </x:row>
    <x:row r="216">
      <x:c r="A216" s="1"/>
      <x:c r="B216" s="1"/>
      <x:c r="C216" s="1"/>
      <x:c r="D216" s="1"/>
    </x:row>
    <x:row r="217">
      <x:c r="A217" s="1"/>
      <x:c r="B217" s="1"/>
      <x:c r="C217" s="1"/>
      <x:c r="D217" s="1"/>
    </x:row>
    <x:row r="218">
      <x:c r="A218" s="1"/>
      <x:c r="B218" s="1"/>
      <x:c r="C218" s="1"/>
      <x:c r="D218" s="1"/>
    </x:row>
    <x:row r="219">
      <x:c r="A219" s="1"/>
      <x:c r="B219" s="1"/>
      <x:c r="C219" s="1"/>
      <x:c r="D219" s="1"/>
    </x:row>
    <x:row r="220">
      <x:c r="A220" s="1"/>
      <x:c r="B220" s="1"/>
      <x:c r="C220" s="1"/>
      <x:c r="D220" s="1"/>
    </x:row>
    <x:row r="221">
      <x:c r="A221" s="1"/>
      <x:c r="B221" s="1"/>
      <x:c r="C221" s="1"/>
      <x:c r="D221" s="1"/>
    </x:row>
    <x:row r="222">
      <x:c r="A222" s="1"/>
      <x:c r="B222" s="1"/>
      <x:c r="C222" s="1"/>
      <x:c r="D222" s="1"/>
    </x:row>
    <x:row r="223">
      <x:c r="A223" s="1"/>
      <x:c r="B223" s="1"/>
      <x:c r="C223" s="1"/>
      <x:c r="D223" s="1"/>
    </x:row>
    <x:row r="224">
      <x:c r="A224" s="1"/>
      <x:c r="B224" s="1"/>
      <x:c r="C224" s="1"/>
      <x:c r="D224" s="1"/>
    </x:row>
    <x:row r="225">
      <x:c r="A225" s="1"/>
      <x:c r="B225" s="1"/>
      <x:c r="C225" s="1"/>
      <x:c r="D225" s="1"/>
    </x:row>
    <x:row r="226">
      <x:c r="A226" s="1"/>
      <x:c r="B226" s="1"/>
      <x:c r="C226" s="1"/>
      <x:c r="D226" s="1"/>
    </x:row>
    <x:row r="227">
      <x:c r="A227" s="1"/>
      <x:c r="B227" s="1"/>
      <x:c r="C227" s="1"/>
      <x:c r="D227" s="1"/>
    </x:row>
    <x:row r="228">
      <x:c r="A228" s="1"/>
      <x:c r="B228" s="1"/>
      <x:c r="C228" s="1"/>
      <x:c r="D228" s="1"/>
    </x:row>
    <x:row r="229">
      <x:c r="A229" s="1"/>
      <x:c r="B229" s="1"/>
      <x:c r="C229" s="1"/>
      <x:c r="D229" s="1"/>
    </x:row>
    <x:row r="230">
      <x:c r="A230" s="1"/>
      <x:c r="B230" s="1"/>
      <x:c r="C230" s="1"/>
      <x:c r="D230" s="1"/>
    </x:row>
    <x:row r="231">
      <x:c r="A231" s="1"/>
      <x:c r="B231" s="1"/>
      <x:c r="C231" s="1"/>
      <x:c r="D231" s="1"/>
    </x:row>
    <x:row r="232">
      <x:c r="A232" s="1"/>
      <x:c r="B232" s="1"/>
      <x:c r="C232" s="1"/>
      <x:c r="D232" s="1"/>
    </x:row>
    <x:row r="233">
      <x:c r="A233" s="1"/>
      <x:c r="B233" s="1"/>
      <x:c r="C233" s="1"/>
      <x:c r="D233" s="1"/>
    </x:row>
    <x:row r="234">
      <x:c r="A234" s="1"/>
      <x:c r="B234" s="1"/>
      <x:c r="C234" s="1"/>
      <x:c r="D234" s="1"/>
    </x:row>
    <x:row r="235">
      <x:c r="A235" s="1"/>
      <x:c r="B235" s="1"/>
      <x:c r="C235" s="1"/>
      <x:c r="D235" s="1"/>
    </x:row>
    <x:row r="236">
      <x:c r="A236" s="1"/>
      <x:c r="B236" s="1"/>
      <x:c r="C236" s="1"/>
      <x:c r="D236" s="1"/>
    </x:row>
    <x:row r="237">
      <x:c r="A237" s="1"/>
      <x:c r="B237" s="1"/>
      <x:c r="C237" s="1"/>
      <x:c r="D237" s="1"/>
    </x:row>
    <x:row r="238">
      <x:c r="A238" s="1"/>
      <x:c r="B238" s="1"/>
      <x:c r="C238" s="1"/>
      <x:c r="D238" s="1"/>
    </x:row>
    <x:row r="239">
      <x:c r="A239" s="1"/>
      <x:c r="B239" s="1"/>
      <x:c r="C239" s="1"/>
      <x:c r="D239" s="1"/>
    </x:row>
    <x:row r="240">
      <x:c r="A240" s="1"/>
      <x:c r="B240" s="1"/>
      <x:c r="C240" s="1"/>
      <x:c r="D240" s="1"/>
    </x:row>
    <x:row r="241">
      <x:c r="A241" s="1"/>
      <x:c r="B241" s="1"/>
      <x:c r="C241" s="1"/>
      <x:c r="D241" s="1"/>
    </x:row>
    <x:row r="242">
      <x:c r="A242" s="1"/>
      <x:c r="B242" s="1"/>
      <x:c r="C242" s="1"/>
      <x:c r="D242"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7.5" hidden="0" customWidth="1"/>
    <x:col min="2" max="2" width="12.5" hidden="0" customWidth="1"/>
    <x:col min="3" max="3" width="18.1299991607666" hidden="0" customWidth="1"/>
    <x:col min="4" max="4" width="18.1299991607666" hidden="0" customWidth="1"/>
    <x:col min="5" max="5" width="23.75" hidden="0" customWidth="1"/>
    <x:col min="6" max="6" width="14.380000114440918" hidden="0" customWidth="1"/>
    <x:col min="7" max="7" width="14.380000114440918" hidden="0" customWidth="1"/>
    <x:col min="8" max="8" width="8.130000114440918" hidden="0" customWidth="1"/>
    <x:col min="9" max="9" width="100" hidden="0" customWidth="1"/>
    <x:col min="10" max="10" width="42.5" hidden="0" customWidth="1"/>
    <x:col min="11" max="11" width="41.25" hidden="0" customWidth="1"/>
    <x:col min="12" max="12" width="31.8799991607666" hidden="0" customWidth="1"/>
    <x:col min="13" max="13" width="40" hidden="0" customWidth="1"/>
    <x:col min="14" max="14" width="18.75" hidden="0" customWidth="1"/>
    <x:col min="15" max="15" width="36.25" hidden="0" customWidth="1"/>
    <x:col min="16" max="16" width="30.6299991607666" hidden="0" customWidth="1"/>
    <x:col min="17" max="17" width="35" hidden="0" customWidth="1"/>
    <x:col min="18" max="18" width="18.1299991607666" hidden="0" customWidth="1"/>
    <x:col min="19" max="19" width="18.75" hidden="0" customWidth="1"/>
  </x:cols>
  <x:sheetData>
    <x:row r="1">
      <x:c r="A1" s="2" t="str">
        <x:v>LG 공개 리뷰</x:v>
      </x:c>
      <x:c r="B1" s="1"/>
      <x:c r="C1" s="1"/>
      <x:c r="D1" s="1"/>
      <x:c r="E1" s="1"/>
      <x:c r="F1" s="1"/>
      <x:c r="G1" s="1"/>
      <x:c r="H1" s="1"/>
      <x:c r="I1" s="1"/>
      <x:c r="J1" s="1"/>
      <x:c r="K1" s="1"/>
      <x:c r="L1" s="1"/>
      <x:c r="M1" s="1"/>
      <x:c r="N1" s="1"/>
      <x:c r="O1" s="1"/>
      <x:c r="P1" s="1"/>
      <x:c r="Q1" s="1"/>
      <x:c r="R1" s="1"/>
      <x:c r="S1" s="1"/>
    </x:row>
    <x:row r="2" ht="57" customHeight="1">
      <x:c r="A2" s="4" t="str">
        <x:v>빈 구매 모델·게시일은 null이다. 별점은 감정 분류가 아니며 추천순·낮은 별점의 의도 표본이다.</x:v>
      </x:c>
      <x:c r="B2" s="1"/>
      <x:c r="C2" s="1"/>
      <x:c r="D2" s="1"/>
      <x:c r="E2" s="1"/>
      <x:c r="F2" s="1"/>
      <x:c r="G2" s="1"/>
      <x:c r="H2" s="1"/>
      <x:c r="I2" s="1"/>
      <x:c r="J2" s="1"/>
      <x:c r="K2" s="1"/>
      <x:c r="L2" s="1"/>
      <x:c r="M2" s="1"/>
      <x:c r="N2" s="1"/>
      <x:c r="O2" s="1"/>
      <x:c r="P2" s="1"/>
      <x:c r="Q2" s="1"/>
      <x:c r="R2" s="1"/>
      <x:c r="S2" s="1"/>
    </x:row>
    <x:row r="3">
      <x:c r="A3" s="1"/>
      <x:c r="B3" s="1"/>
      <x:c r="C3" s="1"/>
      <x:c r="D3" s="1"/>
      <x:c r="E3" s="1"/>
      <x:c r="F3" s="1"/>
      <x:c r="G3" s="1"/>
      <x:c r="H3" s="1"/>
      <x:c r="I3" s="1"/>
      <x:c r="J3" s="1"/>
      <x:c r="K3" s="1"/>
      <x:c r="L3" s="1"/>
      <x:c r="M3" s="1"/>
      <x:c r="N3" s="1"/>
      <x:c r="O3" s="1"/>
      <x:c r="P3" s="1"/>
      <x:c r="Q3" s="1"/>
      <x:c r="R3" s="1"/>
      <x:c r="S3" s="1"/>
    </x:row>
    <x:row r="4" ht="34.5" customHeight="1">
      <x:c r="A4" s="7" t="str">
        <x:v>후기 ID</x:v>
      </x:c>
      <x:c r="B4" s="7" t="str">
        <x:v>제품군</x:v>
      </x:c>
      <x:c r="C4" s="7" t="str">
        <x:v>표시 모델</x:v>
      </x:c>
      <x:c r="D4" s="7" t="str">
        <x:v>구매 모델</x:v>
      </x:c>
      <x:c r="E4" s="7" t="str">
        <x:v>기존 분할</x:v>
      </x:c>
      <x:c r="F4" s="7" t="str">
        <x:v>구매일</x:v>
      </x:c>
      <x:c r="G4" s="7" t="str">
        <x:v>게시일</x:v>
      </x:c>
      <x:c r="H4" s="7" t="str">
        <x:v>별점</x:v>
      </x:c>
      <x:c r="I4" s="7" t="str">
        <x:v>수집된 원문</x:v>
      </x:c>
      <x:c r="J4" s="7" t="str">
        <x:v>공식 출처 URL</x:v>
      </x:c>
      <x:c r="K4" s="7" t="str">
        <x:v>원문 위치</x:v>
      </x:c>
      <x:c r="L4" s="7" t="str">
        <x:v>설명서 판본</x:v>
      </x:c>
      <x:c r="M4" s="7" t="str">
        <x:v>원문 SHA256</x:v>
      </x:c>
      <x:c r="N4" s="7" t="str">
        <x:v>정확 SKU 판단 적격</x:v>
      </x:c>
      <x:c r="O4" s="7" t="str">
        <x:v>기존 중복 그룹</x:v>
      </x:c>
      <x:c r="P4" s="7" t="str">
        <x:v>수집 시각</x:v>
      </x:c>
      <x:c r="Q4" s="7" t="str">
        <x:v>기존 품질 표시</x:v>
      </x:c>
      <x:c r="R4" s="7" t="str">
        <x:v>독립 사용 승인</x:v>
      </x:c>
      <x:c r="S4" s="7" t="str">
        <x:v>원자료 구분</x:v>
      </x:c>
    </x:row>
    <x:row r="5" ht="159" customHeight="1">
      <x:c r="A5" s="14" t="str">
        <x:v>848850</x:v>
      </x:c>
      <x:c r="B5" s="14" t="str">
        <x:v>fridge</x:v>
      </x:c>
      <x:c r="C5" s="14" t="str">
        <x:v>T876MEE1H1</x:v>
      </x:c>
      <x:c r="D5" s="18"/>
      <x:c r="E5" s="14" t="str">
        <x:v>development</x:v>
      </x:c>
      <x:c r="F5" s="15" t="n">
        <x:v>46284</x:v>
      </x:c>
      <x:c r="G5" s="18"/>
      <x:c r="H5" s="16" t="n">
        <x:v>5</x:v>
      </x:c>
      <x:c r="I5" s="14" t="str">
        <x:v>오랫동안 사용하던 양문형 냉장고를 보내주고 LG 오브제컬렉션으로 갈아탔습니다!
구축 아파트라 사이즈가 맞지 않아 키친핏을 포기하고 결정했는데, 걱정했던 상냉장 하냉동 구조는 자주 쓰는 냉장실이 위에 있어 허리도 편하고 훨씬 만족스럽네요.
기존 양문형보다 용량이 커서 식재료가 넉넉하게 들어가고 수납도 확 트였습니다. 다만 깊이가 깊다 보니 앞으로 살짝 튀어나오고, 안쪽 깊숙한 곳은 팔이 잘 닿지 않아 공간을 다 활용하기 어렵다는 아쉬움은 살짝 있네요. 
편리한 매직스페이스와 냄새 걱정 없는 UV청정탈취필터 기능이 정말 마음에 들고, 주방 분위기도 깔끔해졌어요. 잔고장 없이 오랫동안 잘 사용했으면 좋겠습니다!</x:v>
      </x:c>
      <x:c r="J5" s="14" t="str">
        <x:v>https://www.lge.co.kr/mkt/review/MD10758826/pdpReviewListPopup</x:v>
      </x:c>
      <x:c r="K5" s="14" t="str">
        <x:v>#divReviewList &gt; li[data-review-id="848850"] .message</x:v>
      </x:c>
      <x:c r="L5" s="14" t="str">
        <x:v>MFL71401557 Rev.00_032526</x:v>
      </x:c>
      <x:c r="M5" s="14" t="str">
        <x:v>f7c96d4b8243c18ce33b6b3f4bf6a030b7c3004d3c75facf1d38df8f66853d0a</x:v>
      </x:c>
      <x:c r="N5" s="17" t="b">
        <x:v>0</x:v>
      </x:c>
      <x:c r="O5" s="14" t="str">
        <x:v>LGE-R5-GROUP-848850</x:v>
      </x:c>
      <x:c r="P5" s="14" t="n">
        <x:v>46302.04854462963</x:v>
      </x:c>
      <x:c r="Q5" s="14" t="str"/>
      <x:c r="R5" s="17" t="b">
        <x:v>0</x:v>
      </x:c>
      <x:c r="S5" s="14" t="str">
        <x:v>fixed18</x:v>
      </x:c>
    </x:row>
    <x:row r="6" ht="48" customHeight="1">
      <x:c r="A6" s="14" t="str">
        <x:v>837828</x:v>
      </x:c>
      <x:c r="B6" s="14" t="str">
        <x:v>fridge</x:v>
      </x:c>
      <x:c r="C6" s="14" t="str">
        <x:v>T876MEE1H1</x:v>
      </x:c>
      <x:c r="D6" s="18"/>
      <x:c r="E6" s="14" t="str">
        <x:v>development</x:v>
      </x:c>
      <x:c r="F6" s="15" t="n">
        <x:v>46270</x:v>
      </x:c>
      <x:c r="G6" s="18"/>
      <x:c r="H6" s="16" t="n">
        <x:v>5</x:v>
      </x:c>
      <x:c r="I6" s="14" t="str">
        <x:v>집이 화이트톤이라 끝까지 베이지랑 고민하다 결국 베이지로 갔는데 만족합니다!! 너무 잘 어울리고 맘에 들어요! 사랑해요 엘지이</x:v>
      </x:c>
      <x:c r="J6" s="14" t="str">
        <x:v>https://www.lge.co.kr/mkt/review/MD10758826/pdpReviewListPopup</x:v>
      </x:c>
      <x:c r="K6" s="14" t="str">
        <x:v>#divReviewList &gt; li[data-review-id="837828"] .message</x:v>
      </x:c>
      <x:c r="L6" s="14" t="str">
        <x:v>MFL71401557 Rev.00_032526</x:v>
      </x:c>
      <x:c r="M6" s="14" t="str">
        <x:v>fe0404a56f3da84dfc993714fd1ae925ebd1e305f897f0ef7b6c884f8a08586a</x:v>
      </x:c>
      <x:c r="N6" s="17" t="b">
        <x:v>0</x:v>
      </x:c>
      <x:c r="O6" s="14" t="str">
        <x:v>LGE-R5-GROUP-837828</x:v>
      </x:c>
      <x:c r="P6" s="14" t="n">
        <x:v>46302.04854462963</x:v>
      </x:c>
      <x:c r="Q6" s="14" t="str"/>
      <x:c r="R6" s="17" t="b">
        <x:v>0</x:v>
      </x:c>
      <x:c r="S6" s="14" t="str">
        <x:v>fixed18</x:v>
      </x:c>
    </x:row>
    <x:row r="7" ht="84" customHeight="1">
      <x:c r="A7" s="14" t="str">
        <x:v>833709</x:v>
      </x:c>
      <x:c r="B7" s="14" t="str">
        <x:v>fridge</x:v>
      </x:c>
      <x:c r="C7" s="14" t="str">
        <x:v>T876MEE1H1</x:v>
      </x:c>
      <x:c r="D7" s="18"/>
      <x:c r="E7" s="14" t="str">
        <x:v>independent_evaluation</x:v>
      </x:c>
      <x:c r="F7" s="15" t="n">
        <x:v>46266</x:v>
      </x:c>
      <x:c r="G7" s="18"/>
      <x:c r="H7" s="16" t="n">
        <x:v>5</x:v>
      </x:c>
      <x:c r="I7" s="14" t="str">
        <x:v>Lg디오스 AI 매직스페이스 냉장고 좋은가격에 좋은제품 득템했어요~! 신혼가전 lg로 맞췄는데 너무 마음에 들어요. 용량도 크고 냉툭튀로 사용할거라 아주 좋습니다! 
어제 설치받았는데 제조도 최신제조용이라 최곱니다! 
기능도 많고 앞으로 많은 식재료 보관으로 집밥을 기대해봅니다~^^ 설치기사님두 친절하게 잘 설치해주시고 마지막까지 잘 점검 해주셨어요~! 가전제품은 엘지가 최고인듯하네요~!</x:v>
      </x:c>
      <x:c r="J7" s="14" t="str">
        <x:v>https://www.lge.co.kr/mkt/review/MD10758826/pdpReviewListPopup</x:v>
      </x:c>
      <x:c r="K7" s="14" t="str">
        <x:v>#divReviewList &gt; li[data-review-id="833709"] .message</x:v>
      </x:c>
      <x:c r="L7" s="14" t="str">
        <x:v>MFL71401557 Rev.00_032526</x:v>
      </x:c>
      <x:c r="M7" s="14" t="str">
        <x:v>7a23a945c9985ba5e95355d021b35b390ed4c530c283dc8faf4b03438bcd779b</x:v>
      </x:c>
      <x:c r="N7" s="17" t="b">
        <x:v>0</x:v>
      </x:c>
      <x:c r="O7" s="14" t="str">
        <x:v>LGE-R5-GROUP-833709</x:v>
      </x:c>
      <x:c r="P7" s="14" t="n">
        <x:v>46302.04854462963</x:v>
      </x:c>
      <x:c r="Q7" s="14" t="str"/>
      <x:c r="R7" s="17" t="b">
        <x:v>0</x:v>
      </x:c>
      <x:c r="S7" s="14" t="str">
        <x:v>fixed18</x:v>
      </x:c>
    </x:row>
    <x:row r="8" ht="159" customHeight="1">
      <x:c r="A8" s="14" t="str">
        <x:v>808291</x:v>
      </x:c>
      <x:c r="B8" s="14" t="str">
        <x:v>fridge</x:v>
      </x:c>
      <x:c r="C8" s="14" t="str">
        <x:v>T876MEE1H1</x:v>
      </x:c>
      <x:c r="D8" s="18"/>
      <x:c r="E8" s="14" t="str">
        <x:v>demonstration</x:v>
      </x:c>
      <x:c r="F8" s="15" t="n">
        <x:v>46237</x:v>
      </x:c>
      <x:c r="G8" s="18"/>
      <x:c r="H8" s="16" t="n">
        <x:v>5</x:v>
      </x:c>
      <x:c r="I8" s="14" t="str">
        <x:v>20년 넘게 쓰던 냉장고를 이번 LG 이벤트 덕분에 새로 장만했는데, 진짜 너무 잘 바꾼 것 같아요!
상&amp;하부 공간도 넓고, 접이식 선반도 활용도가 좋아 보여서 너무 만족스럽네요. 디자인도 예쁘고 UV 탈취필터로 냉장고 안을 신선하게 유지해준다니 더 마음에 들어요.
오늘처럼 푹푹 찌는 날씨에도 기사님들께서 정말 친절하게 설치해주셨고, 냉장고 수평 맞추는 것부터 내부 사용법까지 꼼꼼하게 설명해주셨어요. 엘리베이터 없는 빌라인데도 사다리차로 안전하게 옮겨서 깔끔하게 설치해주셨답니다.
9시10분도착 -10시20분 완료
잘 사용할께요~~기사님들 최고! 엘지 최고에요😁😀</x:v>
      </x:c>
      <x:c r="J8" s="14" t="str">
        <x:v>https://www.lge.co.kr/mkt/review/MD10758826/pdpReviewListPopup</x:v>
      </x:c>
      <x:c r="K8" s="14" t="str">
        <x:v>#divReviewList &gt; li[data-review-id="808291"] .message</x:v>
      </x:c>
      <x:c r="L8" s="14" t="str">
        <x:v>MFL71401557 Rev.00_032526</x:v>
      </x:c>
      <x:c r="M8" s="14" t="str">
        <x:v>1f413c8d35006eaf83a39822fe5a0e7ccb06b84c5e562a7b8e94e97865d96bfd</x:v>
      </x:c>
      <x:c r="N8" s="17" t="b">
        <x:v>0</x:v>
      </x:c>
      <x:c r="O8" s="14" t="str">
        <x:v>LGE-R5-GROUP-808291</x:v>
      </x:c>
      <x:c r="P8" s="14" t="n">
        <x:v>46302.04854462963</x:v>
      </x:c>
      <x:c r="Q8" s="14" t="str"/>
      <x:c r="R8" s="17" t="b">
        <x:v>0</x:v>
      </x:c>
      <x:c r="S8" s="14" t="str">
        <x:v>fixed18</x:v>
      </x:c>
    </x:row>
    <x:row r="9" ht="84" customHeight="1">
      <x:c r="A9" s="14" t="str">
        <x:v>797272</x:v>
      </x:c>
      <x:c r="B9" s="14" t="str">
        <x:v>fridge</x:v>
      </x:c>
      <x:c r="C9" s="14" t="str">
        <x:v>T876MEE1H1</x:v>
      </x:c>
      <x:c r="D9" s="18"/>
      <x:c r="E9" s="14" t="str">
        <x:v>independent_evaluation</x:v>
      </x:c>
      <x:c r="F9" s="15" t="n">
        <x:v>46226</x:v>
      </x:c>
      <x:c r="G9" s="18"/>
      <x:c r="H9" s="16" t="n">
        <x:v>5</x:v>
      </x:c>
      <x:c r="I9" s="14" t="str">
        <x:v>신혼때 샀던 냉장고가 10년만에
고장나서 다시 엘지 디오스 냉장고로 구입했습니다 
결제하고 하루만에 배송와서 너무 놀랬고 
설치 기사님께서 설명도 잘 해주시고 너무 친절하셨습니다 
서비스 배송 제품 모두 만족해서 별 100점 드릴게요</x:v>
      </x:c>
      <x:c r="J9" s="14" t="str">
        <x:v>https://www.lge.co.kr/mkt/review/MD10758826/pdpReviewListPopup</x:v>
      </x:c>
      <x:c r="K9" s="14" t="str">
        <x:v>#divReviewList &gt; li[data-review-id="797272"] .message</x:v>
      </x:c>
      <x:c r="L9" s="14" t="str">
        <x:v>MFL71401557 Rev.00_032526</x:v>
      </x:c>
      <x:c r="M9" s="14" t="str">
        <x:v>d6f10f43fecd4834ede0ed402d5e93fd96f113e32547716bf2980562b3e2f44d</x:v>
      </x:c>
      <x:c r="N9" s="17" t="b">
        <x:v>0</x:v>
      </x:c>
      <x:c r="O9" s="14" t="str">
        <x:v>LGE-R5-GROUP-797272</x:v>
      </x:c>
      <x:c r="P9" s="14" t="n">
        <x:v>46302.04854462963</x:v>
      </x:c>
      <x:c r="Q9" s="14" t="str"/>
      <x:c r="R9" s="17" t="b">
        <x:v>0</x:v>
      </x:c>
      <x:c r="S9" s="14" t="str">
        <x:v>fixed18</x:v>
      </x:c>
    </x:row>
    <x:row r="10" ht="99" customHeight="1">
      <x:c r="A10" s="14" t="str">
        <x:v>796211</x:v>
      </x:c>
      <x:c r="B10" s="14" t="str">
        <x:v>fridge</x:v>
      </x:c>
      <x:c r="C10" s="14" t="str">
        <x:v>T876MEE1H1</x:v>
      </x:c>
      <x:c r="D10" s="18"/>
      <x:c r="E10" s="14" t="str">
        <x:v>development</x:v>
      </x:c>
      <x:c r="F10" s="15" t="n">
        <x:v>46225</x:v>
      </x:c>
      <x:c r="G10" s="18"/>
      <x:c r="H10" s="16" t="n">
        <x:v>5</x:v>
      </x:c>
      <x:c r="I10" s="14" t="str">
        <x:v>17년 사용한 냉장고가 더운여름에 갑자기 물흐름 증상이 발생했어요. 급하게 구입하게 되었는데 꼼꼼히 비교하고 멀티플레이스가 있는 제품을 선택했어요. 멀티플레이스 기존 버전이 저렴하고 기능에 큰 차이가 없었지만 내일 배송에 차액을 지불하는 셈 치고 구매하게 되었어요. 기능상 큰 차이는 없지만 AI버전이 절전기능이 있고 항균필터가 신형이라는 점이 차별점이네요. 외형은 깔끔하고 내부도 넓어요. 양문형이 아이라 위아래 나뉘어져 내부공간활용이 뛰어난 점이 좋네요. 오래도록 잘 사용하길 바래봅니다. 기사님 두 분이 문 다 떼고 엘베 실어서 조립에 수평도 잘 맞춰주시고 설명도 잘 해주셨어요. 무더위에 힘드셨을텐데 감사드립니다.</x:v>
      </x:c>
      <x:c r="J10" s="14" t="str">
        <x:v>https://www.lge.co.kr/mkt/review/MD10758826/pdpReviewListPopup</x:v>
      </x:c>
      <x:c r="K10" s="14" t="str">
        <x:v>#divReviewList &gt; li[data-review-id="796211"] .message</x:v>
      </x:c>
      <x:c r="L10" s="14" t="str">
        <x:v>MFL71401557 Rev.00_032526</x:v>
      </x:c>
      <x:c r="M10" s="14" t="str">
        <x:v>49c74e72448475b7c6807571f44a4b881f7a1c2c7c4fbdbbbb16af6f2512c8a4</x:v>
      </x:c>
      <x:c r="N10" s="17" t="b">
        <x:v>0</x:v>
      </x:c>
      <x:c r="O10" s="14" t="str">
        <x:v>LGE-R5-GROUP-796211</x:v>
      </x:c>
      <x:c r="P10" s="14" t="n">
        <x:v>46302.04854462963</x:v>
      </x:c>
      <x:c r="Q10" s="14" t="str"/>
      <x:c r="R10" s="17" t="b">
        <x:v>0</x:v>
      </x:c>
      <x:c r="S10" s="14" t="str">
        <x:v>fixed18</x:v>
      </x:c>
    </x:row>
    <x:row r="11" ht="129" customHeight="1">
      <x:c r="A11" s="14" t="str">
        <x:v>786986</x:v>
      </x:c>
      <x:c r="B11" s="14" t="str">
        <x:v>fridge</x:v>
      </x:c>
      <x:c r="C11" s="14" t="str">
        <x:v>T876MEE1H1</x:v>
      </x:c>
      <x:c r="D11" s="18"/>
      <x:c r="E11" s="14" t="str">
        <x:v>demonstration</x:v>
      </x:c>
      <x:c r="F11" s="15" t="n">
        <x:v>46216</x:v>
      </x:c>
      <x:c r="G11" s="18"/>
      <x:c r="H11" s="16" t="n">
        <x:v>5</x:v>
      </x:c>
      <x:c r="I11" s="14" t="str">
        <x:v>16년 사용하던 삼성냉장고가 갑작스럽게 고장나서 알아보다가 바꾸게 됐어요
일단 기능이나 모양 마음에 들어요
사이즈가 조금 커서 앞으로 튀어나오는게 싫어서 키친핏 냉장고를 두고 고민을 엄청 했네요
4인가족이고 큰게 좋겠다 생각해 그냥 구매 했어요
주문하고 2일뒤 바로 배송 받아 잘 사용중입니다^^
하나하나 LG가전으로 채워져 가고 있네요
이제 TV와 에어컨 남았어요
또 사러올게요^^</x:v>
      </x:c>
      <x:c r="J11" s="14" t="str">
        <x:v>https://www.lge.co.kr/mkt/review/MD10758826/pdpReviewListPopup</x:v>
      </x:c>
      <x:c r="K11" s="14" t="str">
        <x:v>#divReviewList &gt; li[data-review-id="786986"] .message</x:v>
      </x:c>
      <x:c r="L11" s="14" t="str">
        <x:v>MFL71401557 Rev.00_032526</x:v>
      </x:c>
      <x:c r="M11" s="14" t="str">
        <x:v>8918edb9d63d276c6d41a58a8e68c7f5fd37aa374b7a141c6d099a22d3fc916c</x:v>
      </x:c>
      <x:c r="N11" s="17" t="b">
        <x:v>0</x:v>
      </x:c>
      <x:c r="O11" s="14" t="str">
        <x:v>LGE-R5-GROUP-786986</x:v>
      </x:c>
      <x:c r="P11" s="14" t="n">
        <x:v>46302.04854462963</x:v>
      </x:c>
      <x:c r="Q11" s="14" t="str"/>
      <x:c r="R11" s="17" t="b">
        <x:v>0</x:v>
      </x:c>
      <x:c r="S11" s="14" t="str">
        <x:v>fixed18</x:v>
      </x:c>
    </x:row>
    <x:row r="12" ht="99" customHeight="1">
      <x:c r="A12" s="14" t="str">
        <x:v>771888</x:v>
      </x:c>
      <x:c r="B12" s="14" t="str">
        <x:v>fridge</x:v>
      </x:c>
      <x:c r="C12" s="14" t="str">
        <x:v>T876MEE1H1</x:v>
      </x:c>
      <x:c r="D12" s="18"/>
      <x:c r="E12" s="14" t="str">
        <x:v>development</x:v>
      </x:c>
      <x:c r="F12" s="15" t="n">
        <x:v>46203</x:v>
      </x:c>
      <x:c r="G12" s="18"/>
      <x:c r="H12" s="16" t="n">
        <x:v>5</x:v>
      </x:c>
      <x:c r="I12" s="14" t="str">
        <x:v>사용하던 냉장고 고장으로 여름철 음식보관이 걱정스러웠으나 앞으로 10년이상 사용해야 할 가전제품을
아무거나 살 수 없었습니다.
가전제품 대리점, 코스트코, 마트 등 여러곳을 방문하며 가격이나 디자인 그리고 빠르고 안전한 배송을 비교하였고 선택하게 되었습니다.
금요일 구매 일요일 배송안내 전화 주셨고
월요일 배송 받았습니다.</x:v>
      </x:c>
      <x:c r="J12" s="14" t="str">
        <x:v>https://www.lge.co.kr/mkt/review/MD10758826/pdpReviewListPopup</x:v>
      </x:c>
      <x:c r="K12" s="14" t="str">
        <x:v>#divReviewList &gt; li[data-review-id="771888"] .message</x:v>
      </x:c>
      <x:c r="L12" s="14" t="str">
        <x:v>MFL71401557 Rev.00_032526</x:v>
      </x:c>
      <x:c r="M12" s="14" t="str">
        <x:v>138823463bab32ce282c3df9e33f8f569661ee5c44c5dcf91fae31e37e1d4a97</x:v>
      </x:c>
      <x:c r="N12" s="17" t="b">
        <x:v>0</x:v>
      </x:c>
      <x:c r="O12" s="14" t="str">
        <x:v>LGE-R5-GROUP-771888</x:v>
      </x:c>
      <x:c r="P12" s="14" t="n">
        <x:v>46302.04854462963</x:v>
      </x:c>
      <x:c r="Q12" s="14" t="str"/>
      <x:c r="R12" s="17" t="b">
        <x:v>0</x:v>
      </x:c>
      <x:c r="S12" s="14" t="str">
        <x:v>fixed18</x:v>
      </x:c>
    </x:row>
    <x:row r="13" ht="54" customHeight="1">
      <x:c r="A13" s="14" t="str">
        <x:v>770195</x:v>
      </x:c>
      <x:c r="B13" s="14" t="str">
        <x:v>fridge</x:v>
      </x:c>
      <x:c r="C13" s="14" t="str">
        <x:v>T876MEE1H1</x:v>
      </x:c>
      <x:c r="D13" s="18"/>
      <x:c r="E13" s="14" t="str">
        <x:v>development</x:v>
      </x:c>
      <x:c r="F13" s="15" t="n">
        <x:v>46202</x:v>
      </x:c>
      <x:c r="G13" s="18"/>
      <x:c r="H13" s="16" t="n">
        <x:v>5</x:v>
      </x:c>
      <x:c r="I13" s="14" t="str">
        <x:v>오랜시간사용하던냉장고를보내고구입한상.하양문형냉장고^^설치하고보니넘~~맘에들었어요가격도타임세일로해서착한가격이고설치해주시는기사님역시정말꼼꼼하고친절히해주셨어요상.하냉장냉동이따로되어있어사용하기도편하고기능역시좋아너무잘구매한것같아요^^잘사용하겠습니다~~~</x:v>
      </x:c>
      <x:c r="J13" s="14" t="str">
        <x:v>https://www.lge.co.kr/mkt/review/MD10758826/pdpReviewListPopup</x:v>
      </x:c>
      <x:c r="K13" s="14" t="str">
        <x:v>#divReviewList &gt; li[data-review-id="770195"] .message</x:v>
      </x:c>
      <x:c r="L13" s="14" t="str">
        <x:v>MFL71401557 Rev.00_032526</x:v>
      </x:c>
      <x:c r="M13" s="14" t="str">
        <x:v>95fc621bd0cfa75868cc516f7962ab4b9bba4e0a2d028174f2b4699181d2a989</x:v>
      </x:c>
      <x:c r="N13" s="17" t="b">
        <x:v>0</x:v>
      </x:c>
      <x:c r="O13" s="14" t="str">
        <x:v>LGE-R5-GROUP-770195</x:v>
      </x:c>
      <x:c r="P13" s="14" t="n">
        <x:v>46302.04854462963</x:v>
      </x:c>
      <x:c r="Q13" s="14" t="str"/>
      <x:c r="R13" s="17" t="b">
        <x:v>0</x:v>
      </x:c>
      <x:c r="S13" s="14" t="str">
        <x:v>fixed18</x:v>
      </x:c>
    </x:row>
    <x:row r="14" ht="48" customHeight="1">
      <x:c r="A14" s="14" t="str">
        <x:v>766814</x:v>
      </x:c>
      <x:c r="B14" s="14" t="str">
        <x:v>fridge</x:v>
      </x:c>
      <x:c r="C14" s="14" t="str">
        <x:v>T876MEE1H1</x:v>
      </x:c>
      <x:c r="D14" s="18"/>
      <x:c r="E14" s="14" t="str">
        <x:v>development</x:v>
      </x:c>
      <x:c r="F14" s="15" t="n">
        <x:v>46198</x:v>
      </x:c>
      <x:c r="G14" s="18"/>
      <x:c r="H14" s="16" t="n">
        <x:v>5</x:v>
      </x:c>
      <x:c r="I14" s="14" t="str">
        <x:v>마침 특가판매로 좋은 가격에 구입했어요 깔끔한 디자인 uv청정필터 접이식선반 오토클로징까지 필요한 기능 다 있는 가성비제품으로 강추예요</x:v>
      </x:c>
      <x:c r="J14" s="14" t="str">
        <x:v>https://www.lge.co.kr/mkt/review/MD10758826/pdpReviewListPopup</x:v>
      </x:c>
      <x:c r="K14" s="14" t="str">
        <x:v>#divReviewList &gt; li[data-review-id="766814"] .message</x:v>
      </x:c>
      <x:c r="L14" s="14" t="str">
        <x:v>MFL71401557 Rev.00_032526</x:v>
      </x:c>
      <x:c r="M14" s="14" t="str">
        <x:v>4b1e47b827db048d1e5b7e7257ff6a2eeb46e10ba7abcef2070dea25dfadbaf8</x:v>
      </x:c>
      <x:c r="N14" s="17" t="b">
        <x:v>0</x:v>
      </x:c>
      <x:c r="O14" s="14" t="str">
        <x:v>LGE-R5-GROUP-766814</x:v>
      </x:c>
      <x:c r="P14" s="14" t="n">
        <x:v>46302.04854462963</x:v>
      </x:c>
      <x:c r="Q14" s="14" t="str"/>
      <x:c r="R14" s="17" t="b">
        <x:v>0</x:v>
      </x:c>
      <x:c r="S14" s="14" t="str">
        <x:v>fixed18</x:v>
      </x:c>
    </x:row>
    <x:row r="15" ht="48" customHeight="1">
      <x:c r="A15" s="14" t="str">
        <x:v>856225</x:v>
      </x:c>
      <x:c r="B15" s="14" t="str">
        <x:v>fridge</x:v>
      </x:c>
      <x:c r="C15" s="14" t="str">
        <x:v>S834MEE111</x:v>
      </x:c>
      <x:c r="D15" s="18"/>
      <x:c r="E15" s="14" t="str">
        <x:v>development</x:v>
      </x:c>
      <x:c r="F15" s="15" t="n">
        <x:v>46295</x:v>
      </x:c>
      <x:c r="G15" s="18"/>
      <x:c r="H15" s="16" t="n">
        <x:v>5</x:v>
      </x:c>
      <x:c r="I15" s="14" t="str">
        <x:v>일단 디자인이 심플하면서도 깔끔했고 가격적인 부분도 부담없고 좋았습니다. 그리고 냉장고 세탁기등의 가전은 LG라면 믿고 살수 있어서 좋았구요. 누가 뭐래도 백색가전은 LG.</x:v>
      </x:c>
      <x:c r="J15" s="14" t="str">
        <x:v>https://www.lge.co.kr/mkt/review/MD10635830/pdpReviewListPopup</x:v>
      </x:c>
      <x:c r="K15" s="14" t="str">
        <x:v>#divReviewList &gt; li[data-review-id="856225"] .message</x:v>
      </x:c>
      <x:c r="L15" s="14"/>
      <x:c r="M15" s="14" t="str">
        <x:v>4cea5e4f272eaed0d61fa2130c9ce6a169594575fde5c90ddaf456220e05605b</x:v>
      </x:c>
      <x:c r="N15" s="17" t="b">
        <x:v>0</x:v>
      </x:c>
      <x:c r="O15" s="14" t="str">
        <x:v>LGE-R5-GROUP-856225</x:v>
      </x:c>
      <x:c r="P15" s="14" t="n">
        <x:v>46302.05807875</x:v>
      </x:c>
      <x:c r="Q15" s="14" t="str"/>
      <x:c r="R15" s="17" t="b">
        <x:v>0</x:v>
      </x:c>
      <x:c r="S15" s="14" t="str">
        <x:v>fixed18</x:v>
      </x:c>
    </x:row>
    <x:row r="16" ht="69" customHeight="1">
      <x:c r="A16" s="14" t="str">
        <x:v>831288</x:v>
      </x:c>
      <x:c r="B16" s="14" t="str">
        <x:v>fridge</x:v>
      </x:c>
      <x:c r="C16" s="14" t="str">
        <x:v>S834MEE111</x:v>
      </x:c>
      <x:c r="D16" s="18"/>
      <x:c r="E16" s="14" t="str">
        <x:v>independent_evaluation</x:v>
      </x:c>
      <x:c r="F16" s="15" t="n">
        <x:v>46263</x:v>
      </x:c>
      <x:c r="G16" s="18"/>
      <x:c r="H16" s="16" t="n">
        <x:v>5</x:v>
      </x:c>
      <x:c r="I16" s="14" t="str">
        <x:v>14년된 LG냉장고가 소음이 심하고, 보낼때가 되어 
이사후 LG냉장고 매직스페이스 업그레이드 버전으로
비슷한 크기의 1등급 제품을 설치 받았어요.
조용하고, 깔끔해서 좋네요.</x:v>
      </x:c>
      <x:c r="J16" s="14" t="str">
        <x:v>https://www.lge.co.kr/mkt/review/MD10635830/pdpReviewListPopup</x:v>
      </x:c>
      <x:c r="K16" s="14" t="str">
        <x:v>#divReviewList &gt; li[data-review-id="831288"] .message</x:v>
      </x:c>
      <x:c r="L16" s="14"/>
      <x:c r="M16" s="14" t="str">
        <x:v>2ac992c7ccb7c253c3e4977ec8bebe9738d5b2d878cc0c9d27a9b483c860a669</x:v>
      </x:c>
      <x:c r="N16" s="17" t="b">
        <x:v>0</x:v>
      </x:c>
      <x:c r="O16" s="14" t="str">
        <x:v>LGE-R5-GROUP-831288</x:v>
      </x:c>
      <x:c r="P16" s="14" t="n">
        <x:v>46302.05807875</x:v>
      </x:c>
      <x:c r="Q16" s="14" t="str"/>
      <x:c r="R16" s="17" t="b">
        <x:v>0</x:v>
      </x:c>
      <x:c r="S16" s="14" t="str">
        <x:v>fixed18</x:v>
      </x:c>
    </x:row>
    <x:row r="17" ht="249" customHeight="1">
      <x:c r="A17" s="14" t="str">
        <x:v>799863</x:v>
      </x:c>
      <x:c r="B17" s="14" t="str">
        <x:v>fridge</x:v>
      </x:c>
      <x:c r="C17" s="14" t="str">
        <x:v>S834MEE111</x:v>
      </x:c>
      <x:c r="D17" s="18"/>
      <x:c r="E17" s="14" t="str">
        <x:v>demonstration</x:v>
      </x:c>
      <x:c r="F17" s="15" t="n">
        <x:v>46229</x:v>
      </x:c>
      <x:c r="G17" s="18"/>
      <x:c r="H17" s="16" t="n">
        <x:v>5</x:v>
      </x:c>
      <x:c r="I17" s="14" t="str">
        <x:v>안녕하세요 😊 
엘지전자 제품 선호가 높아지면서 기능 디자인 색상 등등
아래의 기능에 선택하게 되었습니다.
AI 신선케어와 냉기케어 시스템, 매직스페이스를 적용한 
제품입니다.
문을 자주 여는 시간대를 미리 알고 냉기를 보충해두니까, 
문을 열어도 내부 온도가 일정하게 유지됐답니다
덕분에 식재료의 변질 걱정 없이 처음처럼 신선한 상태를 
자동으로 관리해줍니다.
냉장실 내부 온도 차이를 0.5도 이내로 줄여 온도 변화를 최소화합니다.
냉장실 전체에 냉기가 고르게 퍼져서 식재료가 쉽게 변질되지 
않고 오래간답니다
24시간 내내 일정한 온도를 유지해 식재료 본연의 신선함을 
지속합니다.</x:v>
      </x:c>
      <x:c r="J17" s="14" t="str">
        <x:v>https://www.lge.co.kr/mkt/review/MD10635830/pdpReviewListPopup</x:v>
      </x:c>
      <x:c r="K17" s="14" t="str">
        <x:v>#divReviewList &gt; li[data-review-id="799863"] .message</x:v>
      </x:c>
      <x:c r="L17" s="14"/>
      <x:c r="M17" s="14" t="str">
        <x:v>15ecf6ce31ce53b43e65bb97ec33b94b91b93e972b6c5b3831f791334a04fd06</x:v>
      </x:c>
      <x:c r="N17" s="17" t="b">
        <x:v>0</x:v>
      </x:c>
      <x:c r="O17" s="14" t="str">
        <x:v>LGE-R5-GROUP-799863</x:v>
      </x:c>
      <x:c r="P17" s="14" t="n">
        <x:v>46302.05807875</x:v>
      </x:c>
      <x:c r="Q17" s="14" t="str"/>
      <x:c r="R17" s="17" t="b">
        <x:v>0</x:v>
      </x:c>
      <x:c r="S17" s="14" t="str">
        <x:v>fixed18</x:v>
      </x:c>
    </x:row>
    <x:row r="18" ht="159" customHeight="1">
      <x:c r="A18" s="14" t="str">
        <x:v>790101</x:v>
      </x:c>
      <x:c r="B18" s="14" t="str">
        <x:v>fridge</x:v>
      </x:c>
      <x:c r="C18" s="14" t="str">
        <x:v>S834MEE111</x:v>
      </x:c>
      <x:c r="D18" s="18"/>
      <x:c r="E18" s="14" t="str">
        <x:v>independent_evaluation</x:v>
      </x:c>
      <x:c r="F18" s="15" t="n">
        <x:v>46219</x:v>
      </x:c>
      <x:c r="G18" s="18"/>
      <x:c r="H18" s="16" t="n">
        <x:v>5</x:v>
      </x:c>
      <x:c r="I18" s="14" t="str">
        <x:v>13년 된 양문형 냉장고 806리터가 냉동실 고장인지 얼음이 다 녹아서 as부르니 콤푸레사가 고장이라네요.
여름이라 바로 오프라인 매장으로 사러 갔어요.
LG베스트샵,하이마트,이마트,백화점 다 둘러보았으나 제가 원하는  냉장고가 없었네요.
제가 원하는 제품은 에너지효율 1등급, 800리터 정도, 화이트 이정도인데 마침 LG닷컴에서 LG 디오스 AI 오브제컬렉션 냉장고 (양문형, 매직스페이스) S834MEE111를 발견 바로 주문후, 바로 다음날 배송,설치했어요.
폭이 깊다고 걱정했는데 많이 튀어나오지 않아요.
설치후 몇시간 그대로 두었다가 다시 식재료를 채우고, 얼음도 얼리고..좋아요^^;;
원래 사용했던 냉장고가 홈바가 있어서 편했거든요~그래서 이번에도 냉장실 매직스페이스바 있는걸 골랐는데 편하네요.
단하나,아쉬운건 아이스메이커가 너무 작은것뿐..
역시 가전은 LG네요~몇달전 세탁기,에어컨,이번 냉장고까지 다 싹 LG로 바꿨네요~</x:v>
      </x:c>
      <x:c r="J18" s="14" t="str">
        <x:v>https://www.lge.co.kr/mkt/review/MD10635830/pdpReviewListPopup</x:v>
      </x:c>
      <x:c r="K18" s="14" t="str">
        <x:v>#divReviewList &gt; li[data-review-id="790101"] .message</x:v>
      </x:c>
      <x:c r="L18" s="14"/>
      <x:c r="M18" s="14" t="str">
        <x:v>55e7bbd1eddefdda9555b81b98ba6101912af6f925147c132839cb491f909c9e</x:v>
      </x:c>
      <x:c r="N18" s="17" t="b">
        <x:v>0</x:v>
      </x:c>
      <x:c r="O18" s="14" t="str">
        <x:v>LGE-R5-GROUP-790101</x:v>
      </x:c>
      <x:c r="P18" s="14" t="n">
        <x:v>46302.05807875</x:v>
      </x:c>
      <x:c r="Q18" s="14" t="str"/>
      <x:c r="R18" s="17" t="b">
        <x:v>0</x:v>
      </x:c>
      <x:c r="S18" s="14" t="str">
        <x:v>fixed18</x:v>
      </x:c>
    </x:row>
    <x:row r="19" ht="54" customHeight="1">
      <x:c r="A19" s="14" t="str">
        <x:v>786267</x:v>
      </x:c>
      <x:c r="B19" s="14" t="str">
        <x:v>fridge</x:v>
      </x:c>
      <x:c r="C19" s="14" t="str">
        <x:v>S834MEE111</x:v>
      </x:c>
      <x:c r="D19" s="18"/>
      <x:c r="E19" s="14" t="str">
        <x:v>development</x:v>
      </x:c>
      <x:c r="F19" s="15" t="n">
        <x:v>46216</x:v>
      </x:c>
      <x:c r="G19" s="18"/>
      <x:c r="H19" s="16" t="n">
        <x:v>5</x:v>
      </x:c>
      <x:c r="I19" s="14" t="str">
        <x:v>신혼집에서 사용할 냉장고를 알아보는데 마침 LG에서 행사를 해서 좋은 제품을 합리적인 가격에 구매했습니다! 키친핏으로 하면 외관상 예쁘지만 용량이 너무 적어서 고민하다가 아무래도 음식 보관을 많이 할 것 같아 이 제품을 구매했는데 아주 만족스럽습니다!ㅎㅎ설치도 깔끔하게 잘 해주셨습니다! 더운 날 고생하신 기사님들 감사합니다 :-)</x:v>
      </x:c>
      <x:c r="J19" s="14" t="str">
        <x:v>https://www.lge.co.kr/mkt/review/MD10635830/pdpReviewListPopup</x:v>
      </x:c>
      <x:c r="K19" s="14" t="str">
        <x:v>#divReviewList &gt; li[data-review-id="786267"] .message</x:v>
      </x:c>
      <x:c r="L19" s="14"/>
      <x:c r="M19" s="14" t="str">
        <x:v>73dd229d350ce7045000556b2f61da8a6d14afad20cfc2092b2772a6c2faea7f</x:v>
      </x:c>
      <x:c r="N19" s="17" t="b">
        <x:v>0</x:v>
      </x:c>
      <x:c r="O19" s="14" t="str">
        <x:v>LGE-R5-GROUP-786267</x:v>
      </x:c>
      <x:c r="P19" s="14" t="n">
        <x:v>46302.05807875</x:v>
      </x:c>
      <x:c r="Q19" s="14" t="str"/>
      <x:c r="R19" s="17" t="b">
        <x:v>0</x:v>
      </x:c>
      <x:c r="S19" s="14" t="str">
        <x:v>fixed18</x:v>
      </x:c>
    </x:row>
    <x:row r="20" ht="144" customHeight="1">
      <x:c r="A20" s="14" t="str">
        <x:v>778409</x:v>
      </x:c>
      <x:c r="B20" s="14" t="str">
        <x:v>fridge</x:v>
      </x:c>
      <x:c r="C20" s="14" t="str">
        <x:v>S834MEE111</x:v>
      </x:c>
      <x:c r="D20" s="18"/>
      <x:c r="E20" s="14" t="str">
        <x:v>demonstration</x:v>
      </x:c>
      <x:c r="F20" s="15" t="n">
        <x:v>46209</x:v>
      </x:c>
      <x:c r="G20" s="18"/>
      <x:c r="H20" s="16" t="n">
        <x:v>5</x:v>
      </x:c>
      <x:c r="I20" s="14" t="str">
        <x:v>사이즈 적당히 크고 2도어로 냉동실 왼쪽에 있어서 자주 이용하기 편해요~.
기본기능만 쓰기때문에 많은 기능이 필요없어서 .. Ai나 노크온 기능이 없는걸로 했고, 냉장실 음료나 소스 꺼내기 편한걸로 해서 1등급 제품인데 160만원대 결제 했어요.  적립 포인트 받고 카드사 할인까지 있어서 . 가격도 150 ~160 사이로 결제 되었어요.
냉장고 무료수거도 해주셔서 .. 교체가 편했네요.
배송일정 변경을 앱으로 편하게 힐 수 있고  배송일 전날 전화주셔서 배송시간 알랴주셨어요.
약속시간 잘 지켜주셨고  포장박스며 냉장고 안 안전비닐도 다 제거해서 뒷정리까지 마무리 잘 해주고 가셨어요.</x:v>
      </x:c>
      <x:c r="J20" s="14" t="str">
        <x:v>https://www.lge.co.kr/mkt/review/MD10635830/pdpReviewListPopup</x:v>
      </x:c>
      <x:c r="K20" s="14" t="str">
        <x:v>#divReviewList &gt; li[data-review-id="778409"] .message</x:v>
      </x:c>
      <x:c r="L20" s="14"/>
      <x:c r="M20" s="14" t="str">
        <x:v>c23efc5c2a8e374a6322d96fc71a9b55898799e0f73eec7162cdf253408a745a</x:v>
      </x:c>
      <x:c r="N20" s="17" t="b">
        <x:v>0</x:v>
      </x:c>
      <x:c r="O20" s="14" t="str">
        <x:v>LGE-R5-GROUP-778409</x:v>
      </x:c>
      <x:c r="P20" s="14" t="n">
        <x:v>46302.05807875</x:v>
      </x:c>
      <x:c r="Q20" s="14" t="str"/>
      <x:c r="R20" s="17" t="b">
        <x:v>0</x:v>
      </x:c>
      <x:c r="S20" s="14" t="str">
        <x:v>fixed18</x:v>
      </x:c>
    </x:row>
    <x:row r="21" ht="54" customHeight="1">
      <x:c r="A21" s="14" t="str">
        <x:v>773999</x:v>
      </x:c>
      <x:c r="B21" s="14" t="str">
        <x:v>fridge</x:v>
      </x:c>
      <x:c r="C21" s="14" t="str">
        <x:v>S834MEE111</x:v>
      </x:c>
      <x:c r="D21" s="18"/>
      <x:c r="E21" s="14" t="str">
        <x:v>development</x:v>
      </x:c>
      <x:c r="F21" s="15" t="n">
        <x:v>46205</x:v>
      </x:c>
      <x:c r="G21" s="18"/>
      <x:c r="H21" s="16" t="n">
        <x:v>5</x:v>
      </x:c>
      <x:c r="I21" s="14" t="str">
        <x:v>4도어 초창기 모델 쓰다 양문형 으로 귀환 했습니다 4도어 초기 모델은 용량은 큰데 좀 불편한게 많아서 양문형 찾던중 이제품이 가성비 좋은 모델로 잘 판매되서 구매 했는데 무광 베이지 컬러로 설치하고보니  이쁘네요 판매율 높은 이유가 있어요 가성비로 추천 할만 합니다</x:v>
      </x:c>
      <x:c r="J21" s="14" t="str">
        <x:v>https://www.lge.co.kr/mkt/review/MD10635830/pdpReviewListPopup</x:v>
      </x:c>
      <x:c r="K21" s="14" t="str">
        <x:v>#divReviewList &gt; li[data-review-id="773999"] .message</x:v>
      </x:c>
      <x:c r="L21" s="14"/>
      <x:c r="M21" s="14" t="str">
        <x:v>6f58a2e716b91b8775ed6c58fceadef054e411f8eb37c1275ea636df1d4e7c04</x:v>
      </x:c>
      <x:c r="N21" s="17" t="b">
        <x:v>0</x:v>
      </x:c>
      <x:c r="O21" s="14" t="str">
        <x:v>LGE-R5-GROUP-773999</x:v>
      </x:c>
      <x:c r="P21" s="14" t="n">
        <x:v>46302.05807875</x:v>
      </x:c>
      <x:c r="Q21" s="14" t="str"/>
      <x:c r="R21" s="17" t="b">
        <x:v>0</x:v>
      </x:c>
      <x:c r="S21" s="14" t="str">
        <x:v>fixed18</x:v>
      </x:c>
    </x:row>
    <x:row r="22" ht="54" customHeight="1">
      <x:c r="A22" s="14" t="str">
        <x:v>727127</x:v>
      </x:c>
      <x:c r="B22" s="14" t="str">
        <x:v>fridge</x:v>
      </x:c>
      <x:c r="C22" s="14" t="str">
        <x:v>S834MEE111</x:v>
      </x:c>
      <x:c r="D22" s="18"/>
      <x:c r="E22" s="14" t="str">
        <x:v>independent_evaluation</x:v>
      </x:c>
      <x:c r="F22" s="15" t="n">
        <x:v>46159</x:v>
      </x:c>
      <x:c r="G22" s="18"/>
      <x:c r="H22" s="16" t="n">
        <x:v>5</x:v>
      </x:c>
      <x:c r="I22" s="14" t="str">
        <x:v>LG 디오스 AI오브제컬렉션 냉장고 832L 모델이에요 사진에서 보이는 것처럼 깔끔한 디자인이 돋보여요 주방 어디에 두어도 잘 어울릴 거예요 넉넉한 용량으로 많은 식재료를 보관할 수 있어요 가족 구성원이 많은 가정에 추천드려요
1등급이라 에너지절약에 도움이 되서 좋아요</x:v>
      </x:c>
      <x:c r="J22" s="14" t="str">
        <x:v>https://www.lge.co.kr/mkt/review/MD10635830/pdpReviewListPopup</x:v>
      </x:c>
      <x:c r="K22" s="14" t="str">
        <x:v>#divReviewList &gt; li[data-review-id="727127"] .message</x:v>
      </x:c>
      <x:c r="L22" s="14"/>
      <x:c r="M22" s="14" t="str">
        <x:v>ebaa7c515b41aa80e113ead3cce0de33a4fe4f65cbd49eb86c3a2b21bb61d1b0</x:v>
      </x:c>
      <x:c r="N22" s="17" t="b">
        <x:v>0</x:v>
      </x:c>
      <x:c r="O22" s="14" t="str">
        <x:v>LGE-R5-GROUP-727127</x:v>
      </x:c>
      <x:c r="P22" s="14" t="n">
        <x:v>46302.05807875</x:v>
      </x:c>
      <x:c r="Q22" s="14" t="str"/>
      <x:c r="R22" s="17" t="b">
        <x:v>0</x:v>
      </x:c>
      <x:c r="S22" s="14" t="str">
        <x:v>fixed18</x:v>
      </x:c>
    </x:row>
    <x:row r="23" ht="54" customHeight="1">
      <x:c r="A23" s="14" t="str">
        <x:v>713523</x:v>
      </x:c>
      <x:c r="B23" s="14" t="str">
        <x:v>fridge</x:v>
      </x:c>
      <x:c r="C23" s="14" t="str">
        <x:v>S834MEE111</x:v>
      </x:c>
      <x:c r="D23" s="18"/>
      <x:c r="E23" s="14" t="str">
        <x:v>demonstration</x:v>
      </x:c>
      <x:c r="F23" s="15" t="n">
        <x:v>46146</x:v>
      </x:c>
      <x:c r="G23" s="18"/>
      <x:c r="H23" s="16" t="n">
        <x:v>5</x:v>
      </x:c>
      <x:c r="I23" s="14" t="str">
        <x:v>엘지 냉장고는 처음 사용합니다. 설치하시는 분들 친절하셨어요. 2인가족 사용하기 넉넉한 크기에 앱이랑 연동도 되어서 편하게 온도조절하니까 좋네요. 식재료를 많이 쌓아두는 편인데 수납 잘되고 아주 만족스럽습니다. 디자인도 깔끔하고 예쁩니다.</x:v>
      </x:c>
      <x:c r="J23" s="14" t="str">
        <x:v>https://www.lge.co.kr/mkt/review/MD10635830/pdpReviewListPopup</x:v>
      </x:c>
      <x:c r="K23" s="14" t="str">
        <x:v>#divReviewList &gt; li[data-review-id="713523"] .message</x:v>
      </x:c>
      <x:c r="L23" s="14"/>
      <x:c r="M23" s="14" t="str">
        <x:v>b5ee7ba4284b0ca3d0c972560401396b52256f93d983be0d8c8949f4c49b53f6</x:v>
      </x:c>
      <x:c r="N23" s="17" t="b">
        <x:v>0</x:v>
      </x:c>
      <x:c r="O23" s="14" t="str">
        <x:v>LGE-R5-GROUP-713523</x:v>
      </x:c>
      <x:c r="P23" s="14" t="n">
        <x:v>46302.05807875</x:v>
      </x:c>
      <x:c r="Q23" s="14" t="str"/>
      <x:c r="R23" s="17" t="b">
        <x:v>0</x:v>
      </x:c>
      <x:c r="S23" s="14" t="str">
        <x:v>fixed18</x:v>
      </x:c>
    </x:row>
    <x:row r="24" ht="54" customHeight="1">
      <x:c r="A24" s="14" t="str">
        <x:v>652115</x:v>
      </x:c>
      <x:c r="B24" s="14" t="str">
        <x:v>fridge</x:v>
      </x:c>
      <x:c r="C24" s="14" t="str">
        <x:v>S834MEE111</x:v>
      </x:c>
      <x:c r="D24" s="18"/>
      <x:c r="E24" s="14" t="str">
        <x:v>development</x:v>
      </x:c>
      <x:c r="F24" s="15" t="n">
        <x:v>46080</x:v>
      </x:c>
      <x:c r="G24" s="18"/>
      <x:c r="H24" s="16" t="n">
        <x:v>5</x:v>
      </x:c>
      <x:c r="I24" s="14" t="str">
        <x:v>4도어만 사용했었는데 오히려 양문형냉장고가 훨씬 편하고 무릎 굽히지 않아도 되어서 정말 좋은것같습니다.
오히려 들어가는 수납의 양도 많은 느낌이에요(원래 용량은 4도어가 더 크지만)
설치하실 때 친절히 설치해주셨고, 냉장고도 너무 이쁘고 편리합니다.</x:v>
      </x:c>
      <x:c r="J24" s="14" t="str">
        <x:v>https://www.lge.co.kr/mkt/review/MD10635830/pdpReviewListPopup</x:v>
      </x:c>
      <x:c r="K24" s="14" t="str">
        <x:v>#divReviewList &gt; li[data-review-id="652115"] .message</x:v>
      </x:c>
      <x:c r="L24" s="14"/>
      <x:c r="M24" s="14" t="str">
        <x:v>54dd164ab18b2ea0819529ac04dc8f891c50758c9c340c00aead2fd03edc2034</x:v>
      </x:c>
      <x:c r="N24" s="17" t="b">
        <x:v>0</x:v>
      </x:c>
      <x:c r="O24" s="14" t="str">
        <x:v>LGE-R5-GROUP-652115</x:v>
      </x:c>
      <x:c r="P24" s="14" t="n">
        <x:v>46302.05807875</x:v>
      </x:c>
      <x:c r="Q24" s="14" t="str"/>
      <x:c r="R24" s="17" t="b">
        <x:v>0</x:v>
      </x:c>
      <x:c r="S24" s="14" t="str">
        <x:v>fixed18</x:v>
      </x:c>
    </x:row>
    <x:row r="25" ht="174" customHeight="1">
      <x:c r="A25" s="14" t="str">
        <x:v>856502</x:v>
      </x:c>
      <x:c r="B25" s="14" t="str">
        <x:v>fridge</x:v>
      </x:c>
      <x:c r="C25" s="14" t="str">
        <x:v>S836MEE022</x:v>
      </x:c>
      <x:c r="D25" s="18"/>
      <x:c r="E25" s="14" t="str">
        <x:v>development</x:v>
      </x:c>
      <x:c r="F25" s="15" t="n">
        <x:v>46295</x:v>
      </x:c>
      <x:c r="G25" s="18"/>
      <x:c r="H25" s="16" t="n">
        <x:v>5</x:v>
      </x:c>
      <x:c r="I25" s="14" t="str">
        <x:v>신혼집에 놓을 냉장고를 알아보다가 디자인이 깔끔해서 선택했는데 실제로 설치하고 보니 더 마음에 들어요. 밝은 톤이라 집 분위기와도 잘 어울리고, 앞면이 군더더기 없이 깔끔해서 냉장고가 큰데도 부담스럽게 느껴지지 않습니다. 가운데 검은 라인이 포인트가 돼서 전체적으로 세련된 느낌도 있어요.
내부를 열어보면 생각했던 것보다 수납공간이 넉넉하고 선반이나 서랍 구성이 잘 나눠져 있어서 식재료 정리하기 편했습니다. 냉장실도 한눈에 들어오는 구조라 안쪽에 뭐가 있는지 찾기 쉽고, 문 쪽 수납공간도 있어서 자주 꺼내는 제품을 넣어두기 좋네요. 냉장실 조명도 밝아서 안쪽까지 잘 보이는 점이 마음에 들었습니다.
아직 사용한 지 오래되지는 않았지만 2명이 사용하기에는 공간이 충분하고, 앞으로 식재료가 더 많아져도 여유 있게 사용할 수 있을 것 같아요. 디자인만 보고 선택한 부분도 있었는데 실제로 사용해보니 수납이나 내부 구성도 만족스럽습니다. 신혼집 냉장고로 잘 선택한 것 같아요.</x:v>
      </x:c>
      <x:c r="J25" s="14" t="str">
        <x:v>https://www.lge.co.kr/mkt/review/MD10559863/pdpReviewListPopup</x:v>
      </x:c>
      <x:c r="K25" s="14" t="str">
        <x:v>#divReviewList &gt; li[data-review-id="856502"] .message</x:v>
      </x:c>
      <x:c r="L25" s="14"/>
      <x:c r="M25" s="14" t="str">
        <x:v>00b26591f750bbe43edd19684a351006394bc684e4c6b3a63c3590002e24f86c</x:v>
      </x:c>
      <x:c r="N25" s="17" t="b">
        <x:v>0</x:v>
      </x:c>
      <x:c r="O25" s="14" t="str">
        <x:v>LGE-R5-GROUP-856502</x:v>
      </x:c>
      <x:c r="P25" s="14" t="n">
        <x:v>46302.05809880787</x:v>
      </x:c>
      <x:c r="Q25" s="14" t="str"/>
      <x:c r="R25" s="17" t="b">
        <x:v>0</x:v>
      </x:c>
      <x:c r="S25" s="14" t="str">
        <x:v>fixed18</x:v>
      </x:c>
    </x:row>
    <x:row r="26" ht="84" customHeight="1">
      <x:c r="A26" s="14" t="str">
        <x:v>848013</x:v>
      </x:c>
      <x:c r="B26" s="14" t="str">
        <x:v>fridge</x:v>
      </x:c>
      <x:c r="C26" s="14" t="str">
        <x:v>S836MEE022</x:v>
      </x:c>
      <x:c r="D26" s="18"/>
      <x:c r="E26" s="14" t="str">
        <x:v>development</x:v>
      </x:c>
      <x:c r="F26" s="15" t="n">
        <x:v>46283</x:v>
      </x:c>
      <x:c r="G26" s="18"/>
      <x:c r="H26" s="16" t="n">
        <x:v>5</x:v>
      </x:c>
      <x:c r="I26" s="14" t="str">
        <x:v>냉동실이 갑자기 고장이 나서 급하게
선택하게 되었습니다.
많은분들의 리뷰가 도움이 됐습니다.
잘 쓸께요
가전은 LG죠 ^^</x:v>
      </x:c>
      <x:c r="J26" s="14" t="str">
        <x:v>https://www.lge.co.kr/mkt/review/MD10559863/pdpReviewListPopup</x:v>
      </x:c>
      <x:c r="K26" s="14" t="str">
        <x:v>#divReviewList &gt; li[data-review-id="848013"] .message</x:v>
      </x:c>
      <x:c r="L26" s="14"/>
      <x:c r="M26" s="14" t="str">
        <x:v>4d1f5dc3087161110b9f454644a52ed745d1992611a36ec8c62ff34a7c392292</x:v>
      </x:c>
      <x:c r="N26" s="17" t="b">
        <x:v>0</x:v>
      </x:c>
      <x:c r="O26" s="14" t="str">
        <x:v>LGE-R5-GROUP-848013</x:v>
      </x:c>
      <x:c r="P26" s="14" t="n">
        <x:v>46302.05809880787</x:v>
      </x:c>
      <x:c r="Q26" s="14" t="str"/>
      <x:c r="R26" s="17" t="b">
        <x:v>0</x:v>
      </x:c>
      <x:c r="S26" s="14" t="str">
        <x:v>fixed18</x:v>
      </x:c>
    </x:row>
    <x:row r="27" ht="48" customHeight="1">
      <x:c r="A27" s="14" t="str">
        <x:v>833390</x:v>
      </x:c>
      <x:c r="B27" s="14" t="str">
        <x:v>fridge</x:v>
      </x:c>
      <x:c r="C27" s="14" t="str">
        <x:v>S836MEE022</x:v>
      </x:c>
      <x:c r="D27" s="18"/>
      <x:c r="E27" s="14" t="str">
        <x:v>development</x:v>
      </x:c>
      <x:c r="F27" s="15" t="n">
        <x:v>46265</x:v>
      </x:c>
      <x:c r="G27" s="18"/>
      <x:c r="H27" s="16" t="n">
        <x:v>5</x:v>
      </x:c>
      <x:c r="I27" s="14" t="str">
        <x:v>가격대도 너무 저렴하고 이뻐용 ㅠㅠ
2인가구에 딱 맞는거 같아요!!</x:v>
      </x:c>
      <x:c r="J27" s="14" t="str">
        <x:v>https://www.lge.co.kr/mkt/review/MD10559863/pdpReviewListPopup</x:v>
      </x:c>
      <x:c r="K27" s="14" t="str">
        <x:v>#divReviewList &gt; li[data-review-id="833390"] .message</x:v>
      </x:c>
      <x:c r="L27" s="14"/>
      <x:c r="M27" s="14" t="str">
        <x:v>dbc2b855dec9ff2c91f938257849a833a1221992dc23c8c10f1369db4d58af59</x:v>
      </x:c>
      <x:c r="N27" s="17" t="b">
        <x:v>0</x:v>
      </x:c>
      <x:c r="O27" s="14" t="str">
        <x:v>LGE-R5-GROUP-833390</x:v>
      </x:c>
      <x:c r="P27" s="14" t="n">
        <x:v>46302.05809880787</x:v>
      </x:c>
      <x:c r="Q27" s="14" t="str"/>
      <x:c r="R27" s="17" t="b">
        <x:v>0</x:v>
      </x:c>
      <x:c r="S27" s="14" t="str">
        <x:v>fixed18</x:v>
      </x:c>
    </x:row>
    <x:row r="28" ht="84" customHeight="1">
      <x:c r="A28" s="14" t="str">
        <x:v>833078</x:v>
      </x:c>
      <x:c r="B28" s="14" t="str">
        <x:v>fridge</x:v>
      </x:c>
      <x:c r="C28" s="14" t="str">
        <x:v>S836MEE022</x:v>
      </x:c>
      <x:c r="D28" s="18"/>
      <x:c r="E28" s="14" t="str">
        <x:v>independent_evaluation</x:v>
      </x:c>
      <x:c r="F28" s="15" t="n">
        <x:v>46265</x:v>
      </x:c>
      <x:c r="G28" s="18"/>
      <x:c r="H28" s="16" t="n">
        <x:v>5</x:v>
      </x:c>
      <x:c r="I28" s="14" t="str">
        <x:v>냉장고쓰던게 갑자기고장나서 폰으로찾아보던와중 lg홈페스타 라이브를 하지머예요. 기존오프라인보단 좀 저렴한거같구 급해서 구입햇어요.
티비 제습기 청소기 등등 냉장고 이렇게하나씩 바꾸다보니 모든가전이 lg가되버렷어요. 냉장고 맘에들구요. 다만 냉동실이생각보다작네요.그게좀아쉽네요.  여튼 큰금액으로 구입한만큼 오래썻음하네요.가전은lg라고 그러던데..이번에도 믿고구매햇어요. 잘써볼께요</x:v>
      </x:c>
      <x:c r="J28" s="14" t="str">
        <x:v>https://www.lge.co.kr/mkt/review/MD10559863/pdpReviewListPopup</x:v>
      </x:c>
      <x:c r="K28" s="14" t="str">
        <x:v>#divReviewList &gt; li[data-review-id="833078"] .message</x:v>
      </x:c>
      <x:c r="L28" s="14"/>
      <x:c r="M28" s="14" t="str">
        <x:v>c7a7baea1088a72790384d95b507623cfcdfa2abe4fa666c9ca24bfe332465ee</x:v>
      </x:c>
      <x:c r="N28" s="17" t="b">
        <x:v>0</x:v>
      </x:c>
      <x:c r="O28" s="14" t="str">
        <x:v>LGE-R5-GROUP-833078</x:v>
      </x:c>
      <x:c r="P28" s="14" t="n">
        <x:v>46302.05809880787</x:v>
      </x:c>
      <x:c r="Q28" s="14" t="str"/>
      <x:c r="R28" s="17" t="b">
        <x:v>0</x:v>
      </x:c>
      <x:c r="S28" s="14" t="str">
        <x:v>fixed18</x:v>
      </x:c>
    </x:row>
    <x:row r="29" ht="69" customHeight="1">
      <x:c r="A29" s="14" t="str">
        <x:v>824792</x:v>
      </x:c>
      <x:c r="B29" s="14" t="str">
        <x:v>fridge</x:v>
      </x:c>
      <x:c r="C29" s="14" t="str">
        <x:v>S836MEE022</x:v>
      </x:c>
      <x:c r="D29" s="18"/>
      <x:c r="E29" s="14" t="str">
        <x:v>development</x:v>
      </x:c>
      <x:c r="F29" s="15" t="n">
        <x:v>46255</x:v>
      </x:c>
      <x:c r="G29" s="18"/>
      <x:c r="H29" s="16" t="n">
        <x:v>5</x:v>
      </x:c>
      <x:c r="I29" s="14" t="str">
        <x:v>작년 11월에 리모델링하고 새로 입주하면서 세탁기와 함께 설치했는데요~ 잘 사용중입니다. 우연히도 싱크대 및 주방 가구들과 색상이 일치하여 세트 상품 같고 예쁩니다. 집이 좁다보니 기사님 2분이 분해하고 다시 조립해 주셨는데  무척 친절하셔서 감동했습니다!^^
고장만 안나길 바랄뿐입니다.</x:v>
      </x:c>
      <x:c r="J29" s="14" t="str">
        <x:v>https://www.lge.co.kr/mkt/review/MD10559863/pdpReviewListPopup</x:v>
      </x:c>
      <x:c r="K29" s="14" t="str">
        <x:v>#divReviewList &gt; li[data-review-id="824792"] .message</x:v>
      </x:c>
      <x:c r="L29" s="14"/>
      <x:c r="M29" s="14" t="str">
        <x:v>551df013d4a93e9bb259b4e69eb2a19daee7d8cf83d8a2f407b1744da5f59762</x:v>
      </x:c>
      <x:c r="N29" s="17" t="b">
        <x:v>0</x:v>
      </x:c>
      <x:c r="O29" s="14" t="str">
        <x:v>LGE-R5-GROUP-824792</x:v>
      </x:c>
      <x:c r="P29" s="14" t="n">
        <x:v>46302.05809880787</x:v>
      </x:c>
      <x:c r="Q29" s="14" t="str"/>
      <x:c r="R29" s="17" t="b">
        <x:v>0</x:v>
      </x:c>
      <x:c r="S29" s="14" t="str">
        <x:v>fixed18</x:v>
      </x:c>
    </x:row>
    <x:row r="30" ht="99" customHeight="1">
      <x:c r="A30" s="14" t="str">
        <x:v>824593</x:v>
      </x:c>
      <x:c r="B30" s="14" t="str">
        <x:v>fridge</x:v>
      </x:c>
      <x:c r="C30" s="14" t="str">
        <x:v>S836MEE022</x:v>
      </x:c>
      <x:c r="D30" s="18"/>
      <x:c r="E30" s="14" t="str">
        <x:v>development</x:v>
      </x:c>
      <x:c r="F30" s="15" t="n">
        <x:v>46255</x:v>
      </x:c>
      <x:c r="G30" s="18"/>
      <x:c r="H30" s="16" t="n">
        <x:v>5</x:v>
      </x:c>
      <x:c r="I30" s="14" t="str">
        <x:v>우선 설치기사님 엄청 친절하시고 폐가전수거 및 설치가 매끄럽게 진행되서 만족스러웠어요 
가전이 인테리어에 이렇게 큰영향을 미치는거였군요 부모님 집에 꽃무늬있던 냉장고 고장나서 치우고 오브제 냉장고 장만해드렸더니 완전 새집되었네요✨️
내부도 깊어서 많이 들어가고 (동영상첨부ㅋ) 먹는것에 진심인 집에 딱입니다!! 디자인도 전체적으로 군더더기없이 깔끔 그 잡채!!
조용히 닫히는 오토클로징도 마음에 들어요! 배송도 빠르고 설치도 완벽! 김치냉장고도 조만간 LG로 바꿔야겠어요😁</x:v>
      </x:c>
      <x:c r="J30" s="14" t="str">
        <x:v>https://www.lge.co.kr/mkt/review/MD10559863/pdpReviewListPopup</x:v>
      </x:c>
      <x:c r="K30" s="14" t="str">
        <x:v>#divReviewList &gt; li[data-review-id="824593"] .message</x:v>
      </x:c>
      <x:c r="L30" s="14"/>
      <x:c r="M30" s="14" t="str">
        <x:v>db3e017d7ab659d1ee1ec87f9f5f3d23ab427f43d462738036834baf61b5a8ba</x:v>
      </x:c>
      <x:c r="N30" s="17" t="b">
        <x:v>0</x:v>
      </x:c>
      <x:c r="O30" s="14" t="str">
        <x:v>LGE-R5-GROUP-824593</x:v>
      </x:c>
      <x:c r="P30" s="14" t="n">
        <x:v>46302.05809880787</x:v>
      </x:c>
      <x:c r="Q30" s="14" t="str"/>
      <x:c r="R30" s="17" t="b">
        <x:v>0</x:v>
      </x:c>
      <x:c r="S30" s="14" t="str">
        <x:v>fixed18</x:v>
      </x:c>
    </x:row>
    <x:row r="31" ht="54" customHeight="1">
      <x:c r="A31" s="14" t="str">
        <x:v>822471</x:v>
      </x:c>
      <x:c r="B31" s="14" t="str">
        <x:v>fridge</x:v>
      </x:c>
      <x:c r="C31" s="14" t="str">
        <x:v>S836MEE022</x:v>
      </x:c>
      <x:c r="D31" s="18"/>
      <x:c r="E31" s="14" t="str">
        <x:v>development</x:v>
      </x:c>
      <x:c r="F31" s="15" t="n">
        <x:v>46252</x:v>
      </x:c>
      <x:c r="G31" s="18"/>
      <x:c r="H31" s="16" t="n">
        <x:v>5</x:v>
      </x:c>
      <x:c r="I31" s="14" t="str">
        <x:v>사용하던 냉동고 불도 안들어오고 고장나서 냉장고는 LG 여서 구입 결정했는데 집이 좁은데도 짐들 옮겨주면서 기사님 두분 땀흘려가며 딱 맞추어 설치해주시고 친절하게 보호필름 제거하기 힘들수 있다며 제거해주고 별 무한드리고 싶을만큼 진심 감사드립니다 방문주신 LG냉장고 기사님들 더운여름 냉장고 설치주셔서 감사드리며 잘사용하겠습니다~!!</x:v>
      </x:c>
      <x:c r="J31" s="14" t="str">
        <x:v>https://www.lge.co.kr/mkt/review/MD10559863/pdpReviewListPopup</x:v>
      </x:c>
      <x:c r="K31" s="14" t="str">
        <x:v>#divReviewList &gt; li[data-review-id="822471"] .message</x:v>
      </x:c>
      <x:c r="L31" s="14"/>
      <x:c r="M31" s="14" t="str">
        <x:v>37c7849117e5e103aee3f283b43ea7489fc7e2dbd0ee1b16535adde6aac32e1c</x:v>
      </x:c>
      <x:c r="N31" s="17" t="b">
        <x:v>0</x:v>
      </x:c>
      <x:c r="O31" s="14" t="str">
        <x:v>LGE-R5-GROUP-822471</x:v>
      </x:c>
      <x:c r="P31" s="14" t="n">
        <x:v>46302.05809880787</x:v>
      </x:c>
      <x:c r="Q31" s="14" t="str"/>
      <x:c r="R31" s="17" t="b">
        <x:v>0</x:v>
      </x:c>
      <x:c r="S31" s="14" t="str">
        <x:v>fixed18</x:v>
      </x:c>
    </x:row>
    <x:row r="32" ht="48" customHeight="1">
      <x:c r="A32" s="14" t="str">
        <x:v>790477</x:v>
      </x:c>
      <x:c r="B32" s="14" t="str">
        <x:v>fridge</x:v>
      </x:c>
      <x:c r="C32" s="14" t="str">
        <x:v>S836MEE022</x:v>
      </x:c>
      <x:c r="D32" s="18"/>
      <x:c r="E32" s="14" t="str">
        <x:v>development</x:v>
      </x:c>
      <x:c r="F32" s="15" t="n">
        <x:v>46219</x:v>
      </x:c>
      <x:c r="G32" s="18"/>
      <x:c r="H32" s="16" t="n">
        <x:v>5</x:v>
      </x:c>
      <x:c r="I32" s="14" t="str">
        <x:v>냉장고가 고장나서 며칠동안 고생했어요.. 여러가지 알아보다 사게되었는데 좋아요.. 
크기도 크고 깔끔합니다</x:v>
      </x:c>
      <x:c r="J32" s="14" t="str">
        <x:v>https://www.lge.co.kr/mkt/review/MD10559863/pdpReviewListPopup</x:v>
      </x:c>
      <x:c r="K32" s="14" t="str">
        <x:v>#divReviewList &gt; li[data-review-id="790477"] .message</x:v>
      </x:c>
      <x:c r="L32" s="14"/>
      <x:c r="M32" s="14" t="str">
        <x:v>2b882a3348287720e4858b2ca5d16dd78a511aa1550ef48942170e1cec82de3e</x:v>
      </x:c>
      <x:c r="N32" s="17" t="b">
        <x:v>0</x:v>
      </x:c>
      <x:c r="O32" s="14" t="str">
        <x:v>LGE-R5-GROUP-790477</x:v>
      </x:c>
      <x:c r="P32" s="14" t="n">
        <x:v>46302.05809880787</x:v>
      </x:c>
      <x:c r="Q32" s="14" t="str"/>
      <x:c r="R32" s="17" t="b">
        <x:v>0</x:v>
      </x:c>
      <x:c r="S32" s="14" t="str">
        <x:v>fixed18</x:v>
      </x:c>
    </x:row>
    <x:row r="33" ht="48" customHeight="1">
      <x:c r="A33" s="14" t="str">
        <x:v>783017</x:v>
      </x:c>
      <x:c r="B33" s="14" t="str">
        <x:v>fridge</x:v>
      </x:c>
      <x:c r="C33" s="14" t="str">
        <x:v>S836MEE022</x:v>
      </x:c>
      <x:c r="D33" s="18"/>
      <x:c r="E33" s="14" t="str">
        <x:v>development</x:v>
      </x:c>
      <x:c r="F33" s="15" t="n">
        <x:v>46213</x:v>
      </x:c>
      <x:c r="G33" s="18"/>
      <x:c r="H33" s="16" t="n">
        <x:v>5</x:v>
      </x:c>
      <x:c r="I33" s="14" t="str">
        <x:v>신혼때 마련한 냉장고가 12년 지나가니 계속 냉장실이 얼어서 새로 구입했어요 행사가로 저렴히 구매한 것 같아서 좋아요 LG만 씁니다 LG최고!</x:v>
      </x:c>
      <x:c r="J33" s="14" t="str">
        <x:v>https://www.lge.co.kr/mkt/review/MD10559863/pdpReviewListPopup</x:v>
      </x:c>
      <x:c r="K33" s="14" t="str">
        <x:v>#divReviewList &gt; li[data-review-id="783017"] .message</x:v>
      </x:c>
      <x:c r="L33" s="14"/>
      <x:c r="M33" s="14" t="str">
        <x:v>3cc10fadca82904502cc9dd004c7ca3ec294c559dab63fb716df749c0dc71aa0</x:v>
      </x:c>
      <x:c r="N33" s="17" t="b">
        <x:v>0</x:v>
      </x:c>
      <x:c r="O33" s="14" t="str">
        <x:v>LGE-R5-GROUP-783017</x:v>
      </x:c>
      <x:c r="P33" s="14" t="n">
        <x:v>46302.05809880787</x:v>
      </x:c>
      <x:c r="Q33" s="14" t="str"/>
      <x:c r="R33" s="17" t="b">
        <x:v>0</x:v>
      </x:c>
      <x:c r="S33" s="14" t="str">
        <x:v>fixed18</x:v>
      </x:c>
    </x:row>
    <x:row r="34" ht="48" customHeight="1">
      <x:c r="A34" s="14" t="str">
        <x:v>772640</x:v>
      </x:c>
      <x:c r="B34" s="14" t="str">
        <x:v>fridge</x:v>
      </x:c>
      <x:c r="C34" s="14" t="str">
        <x:v>S836MEE022</x:v>
      </x:c>
      <x:c r="D34" s="18"/>
      <x:c r="E34" s="14" t="str">
        <x:v>development</x:v>
      </x:c>
      <x:c r="F34" s="15" t="n">
        <x:v>46204</x:v>
      </x:c>
      <x:c r="G34" s="18"/>
      <x:c r="H34" s="16" t="n">
        <x:v>5</x:v>
      </x:c>
      <x:c r="I34" s="14" t="str">
        <x:v>양문형 냉장고를 찾다 주변에서 추천받아 구매했어요. 신혼가전으로 구매했는데 인테리어하고도 잘 어울리고 무엇보다 예쁘네요 ! 냉동공간은 조금 부족하지만 냉장공간이 넓어서 좋아요.</x:v>
      </x:c>
      <x:c r="J34" s="14" t="str">
        <x:v>https://www.lge.co.kr/mkt/review/MD10559863/pdpReviewListPopup</x:v>
      </x:c>
      <x:c r="K34" s="14" t="str">
        <x:v>#divReviewList &gt; li[data-review-id="772640"] .message</x:v>
      </x:c>
      <x:c r="L34" s="14"/>
      <x:c r="M34" s="14" t="str">
        <x:v>6ba435d53671d53d9151e848667067832d19b6f141b21292dfcfe2229b436b04</x:v>
      </x:c>
      <x:c r="N34" s="17" t="b">
        <x:v>0</x:v>
      </x:c>
      <x:c r="O34" s="14" t="str">
        <x:v>LGE-R5-GROUP-772640</x:v>
      </x:c>
      <x:c r="P34" s="14" t="n">
        <x:v>46302.05809880787</x:v>
      </x:c>
      <x:c r="Q34" s="14" t="str"/>
      <x:c r="R34" s="17" t="b">
        <x:v>0</x:v>
      </x:c>
      <x:c r="S34" s="14" t="str">
        <x:v>fixed18</x:v>
      </x:c>
    </x:row>
    <x:row r="35" ht="48" customHeight="1">
      <x:c r="A35" s="14" t="str">
        <x:v>858362</x:v>
      </x:c>
      <x:c r="B35" s="14" t="str">
        <x:v>fridge</x:v>
      </x:c>
      <x:c r="C35" s="14" t="str">
        <x:v>T873MEE111</x:v>
      </x:c>
      <x:c r="D35" s="18"/>
      <x:c r="E35" s="14" t="str">
        <x:v>development</x:v>
      </x:c>
      <x:c r="F35" s="15" t="n">
        <x:v>46297</x:v>
      </x:c>
      <x:c r="G35" s="18"/>
      <x:c r="H35" s="16" t="n">
        <x:v>5</x:v>
      </x:c>
      <x:c r="I35" s="14" t="str">
        <x:v>신축 아파트 입주하면서 가전제품도 새제품으로 가전은 역시 LG구입</x:v>
      </x:c>
      <x:c r="J35" s="14" t="str">
        <x:v>https://www.lge.co.kr/mkt/review/MD09322826/pdpReviewListPopup</x:v>
      </x:c>
      <x:c r="K35" s="14" t="str">
        <x:v>#divReviewList &gt; li[data-review-id="858362"] .message</x:v>
      </x:c>
      <x:c r="L35" s="14"/>
      <x:c r="M35" s="14" t="str">
        <x:v>2d33da0f2415253a9a7aff5ae16de949ea3d750ca740794a2df2cdc981b1144b</x:v>
      </x:c>
      <x:c r="N35" s="17" t="b">
        <x:v>0</x:v>
      </x:c>
      <x:c r="O35" s="14" t="str">
        <x:v>LGE-R5-GROUP-858362</x:v>
      </x:c>
      <x:c r="P35" s="14" t="n">
        <x:v>46302.05811518519</x:v>
      </x:c>
      <x:c r="Q35" s="14" t="str"/>
      <x:c r="R35" s="17" t="b">
        <x:v>0</x:v>
      </x:c>
      <x:c r="S35" s="14" t="str">
        <x:v>fixed18</x:v>
      </x:c>
    </x:row>
    <x:row r="36" ht="48" customHeight="1">
      <x:c r="A36" s="14" t="str">
        <x:v>842430</x:v>
      </x:c>
      <x:c r="B36" s="14" t="str">
        <x:v>fridge</x:v>
      </x:c>
      <x:c r="C36" s="14" t="str">
        <x:v>T873MEE111</x:v>
      </x:c>
      <x:c r="D36" s="18"/>
      <x:c r="E36" s="14" t="str">
        <x:v>demonstration</x:v>
      </x:c>
      <x:c r="F36" s="15" t="n">
        <x:v>46276</x:v>
      </x:c>
      <x:c r="G36" s="18"/>
      <x:c r="H36" s="16" t="n">
        <x:v>5</x:v>
      </x:c>
      <x:c r="I36" s="14" t="str">
        <x:v>용량도 넉넉하고 디자인도 좋고 마음에듭니다         
설치기사님들도 친절하세요</x:v>
      </x:c>
      <x:c r="J36" s="14" t="str">
        <x:v>https://www.lge.co.kr/mkt/review/MD09322826/pdpReviewListPopup</x:v>
      </x:c>
      <x:c r="K36" s="14" t="str">
        <x:v>#divReviewList &gt; li[data-review-id="842430"] .message</x:v>
      </x:c>
      <x:c r="L36" s="14"/>
      <x:c r="M36" s="14" t="str">
        <x:v>023c88e6582862b367db371c3aee8917bf77ba5c2e082b428aa899f16d7c9f4e</x:v>
      </x:c>
      <x:c r="N36" s="17" t="b">
        <x:v>0</x:v>
      </x:c>
      <x:c r="O36" s="14" t="str">
        <x:v>LGE-R5-GROUP-842430</x:v>
      </x:c>
      <x:c r="P36" s="14" t="n">
        <x:v>46302.05811518519</x:v>
      </x:c>
      <x:c r="Q36" s="14" t="str"/>
      <x:c r="R36" s="17" t="b">
        <x:v>0</x:v>
      </x:c>
      <x:c r="S36" s="14" t="str">
        <x:v>fixed18</x:v>
      </x:c>
    </x:row>
    <x:row r="37" ht="48" customHeight="1">
      <x:c r="A37" s="14" t="str">
        <x:v>780147</x:v>
      </x:c>
      <x:c r="B37" s="14" t="str">
        <x:v>fridge</x:v>
      </x:c>
      <x:c r="C37" s="14" t="str">
        <x:v>T873MEE111</x:v>
      </x:c>
      <x:c r="D37" s="18"/>
      <x:c r="E37" s="14" t="str">
        <x:v>development</x:v>
      </x:c>
      <x:c r="F37" s="15" t="n">
        <x:v>46210</x:v>
      </x:c>
      <x:c r="G37" s="18"/>
      <x:c r="H37" s="16" t="n">
        <x:v>5</x:v>
      </x:c>
      <x:c r="I37" s="14" t="str">
        <x:v>4도어로 필요한 공간만 열어서 꺼내니 좋고,
또 화이트라 인테리어로도 너무 이뻐요.</x:v>
      </x:c>
      <x:c r="J37" s="14" t="str">
        <x:v>https://www.lge.co.kr/mkt/review/MD09322826/pdpReviewListPopup</x:v>
      </x:c>
      <x:c r="K37" s="14" t="str">
        <x:v>#divReviewList &gt; li[data-review-id="780147"] .message</x:v>
      </x:c>
      <x:c r="L37" s="14"/>
      <x:c r="M37" s="14" t="str">
        <x:v>a86384da3eb542d562003378208cac1882b3fe14011250f7eb8ac1110d2e4100</x:v>
      </x:c>
      <x:c r="N37" s="17" t="b">
        <x:v>0</x:v>
      </x:c>
      <x:c r="O37" s="14" t="str">
        <x:v>LGE-R5-GROUP-780147</x:v>
      </x:c>
      <x:c r="P37" s="14" t="n">
        <x:v>46302.05811518519</x:v>
      </x:c>
      <x:c r="Q37" s="14" t="str"/>
      <x:c r="R37" s="17" t="b">
        <x:v>0</x:v>
      </x:c>
      <x:c r="S37" s="14" t="str">
        <x:v>fixed18</x:v>
      </x:c>
    </x:row>
    <x:row r="38" ht="54" customHeight="1">
      <x:c r="A38" s="14" t="str">
        <x:v>772089</x:v>
      </x:c>
      <x:c r="B38" s="14" t="str">
        <x:v>fridge</x:v>
      </x:c>
      <x:c r="C38" s="14" t="str">
        <x:v>T873MEE111</x:v>
      </x:c>
      <x:c r="D38" s="18"/>
      <x:c r="E38" s="14" t="str">
        <x:v>development</x:v>
      </x:c>
      <x:c r="F38" s="15" t="n">
        <x:v>46203</x:v>
      </x:c>
      <x:c r="G38" s="18"/>
      <x:c r="H38" s="16" t="n">
        <x:v>5</x:v>
      </x:c>
      <x:c r="I38" s="14" t="str">
        <x:v>디자인도 너무 예쁘고 편리해요!
1등급이여서 더 좋아요!
강추합니다.</x:v>
      </x:c>
      <x:c r="J38" s="14" t="str">
        <x:v>https://www.lge.co.kr/mkt/review/MD09322826/pdpReviewListPopup</x:v>
      </x:c>
      <x:c r="K38" s="14" t="str">
        <x:v>#divReviewList &gt; li[data-review-id="772089"] .message</x:v>
      </x:c>
      <x:c r="L38" s="14"/>
      <x:c r="M38" s="14" t="str">
        <x:v>896f83cb5b4593f0b94ec290fe03af751001491cb430ee60bc534a990fb3c02d</x:v>
      </x:c>
      <x:c r="N38" s="17" t="b">
        <x:v>0</x:v>
      </x:c>
      <x:c r="O38" s="14" t="str">
        <x:v>LGE-R5-GROUP-772089</x:v>
      </x:c>
      <x:c r="P38" s="14" t="n">
        <x:v>46302.05811518519</x:v>
      </x:c>
      <x:c r="Q38" s="14" t="str"/>
      <x:c r="R38" s="17" t="b">
        <x:v>0</x:v>
      </x:c>
      <x:c r="S38" s="14" t="str">
        <x:v>fixed18</x:v>
      </x:c>
    </x:row>
    <x:row r="39" ht="84" customHeight="1">
      <x:c r="A39" s="14" t="str">
        <x:v>762356</x:v>
      </x:c>
      <x:c r="B39" s="14" t="str">
        <x:v>fridge</x:v>
      </x:c>
      <x:c r="C39" s="14" t="str">
        <x:v>T873MEE111</x:v>
      </x:c>
      <x:c r="D39" s="18"/>
      <x:c r="E39" s="14" t="str">
        <x:v>demonstration</x:v>
      </x:c>
      <x:c r="F39" s="15" t="n">
        <x:v>46193</x:v>
      </x:c>
      <x:c r="G39" s="18"/>
      <x:c r="H39" s="16" t="n">
        <x:v>5</x:v>
      </x:c>
      <x:c r="I39" s="14" t="str">
        <x:v>기존 냉장고가 오래되어 이번에 LG 오브제컬렉션 4도어 냉장고로 바꿨는데 정말 대만족입니다!
우선 디자인과 컬러가 주방 인테리어를 화사하게 살려줘서 볼 때마다 기분이 좋아요. 870L 대용량이라 내부 수납공간이 정말 넉넉하고, 4도어 구조라 냉동실과 냉장실을 효율적으로 나누어 쓰기 편리합니다.
무엇보다 매직스페이스가 있어서 자주 마시는 음료나 소스를 꺼낼 때 냉기 손실도 적고 아주 유용해요. 에너지 소비효율도 1등급이라 전기세 부담도 덜해서 주변에도 적극 추천하고 싶습니다!</x:v>
      </x:c>
      <x:c r="J39" s="14" t="str">
        <x:v>https://www.lge.co.kr/mkt/review/MD09322826/pdpReviewListPopup</x:v>
      </x:c>
      <x:c r="K39" s="14" t="str">
        <x:v>#divReviewList &gt; li[data-review-id="762356"] .message</x:v>
      </x:c>
      <x:c r="L39" s="14"/>
      <x:c r="M39" s="14" t="str">
        <x:v>c35c4768e785db6c2236e28753b921eed923f2c3f11ce6b5898a0478557e1990</x:v>
      </x:c>
      <x:c r="N39" s="17" t="b">
        <x:v>0</x:v>
      </x:c>
      <x:c r="O39" s="14" t="str">
        <x:v>LGE-R5-GROUP-762356</x:v>
      </x:c>
      <x:c r="P39" s="14" t="n">
        <x:v>46302.05811518519</x:v>
      </x:c>
      <x:c r="Q39" s="14" t="str"/>
      <x:c r="R39" s="17" t="b">
        <x:v>0</x:v>
      </x:c>
      <x:c r="S39" s="14" t="str">
        <x:v>fixed18</x:v>
      </x:c>
    </x:row>
    <x:row r="40" ht="54" customHeight="1">
      <x:c r="A40" s="14" t="str">
        <x:v>753692</x:v>
      </x:c>
      <x:c r="B40" s="14" t="str">
        <x:v>fridge</x:v>
      </x:c>
      <x:c r="C40" s="14" t="str">
        <x:v>T873MEE111</x:v>
      </x:c>
      <x:c r="D40" s="18"/>
      <x:c r="E40" s="14" t="str">
        <x:v>development</x:v>
      </x:c>
      <x:c r="F40" s="15" t="n">
        <x:v>46184</x:v>
      </x:c>
      <x:c r="G40" s="18"/>
      <x:c r="H40" s="16" t="n">
        <x:v>5</x:v>
      </x:c>
      <x:c r="I40" s="14" t="str">
        <x:v>18년된 LG냉장고쓰다가 고장이 안나서 평생 못바꾸나 했는데 ㅋㅋㅋ  가정의달 행사와 카드할인으로 저렴하게 장만했어요
속시원하게 냉장실이 다 보이니 좋고 관리하기 편할거같아요
배송기사님도 친절하시고 좋았어요</x:v>
      </x:c>
      <x:c r="J40" s="14" t="str">
        <x:v>https://www.lge.co.kr/mkt/review/MD09322826/pdpReviewListPopup</x:v>
      </x:c>
      <x:c r="K40" s="14" t="str">
        <x:v>#divReviewList &gt; li[data-review-id="753692"] .message</x:v>
      </x:c>
      <x:c r="L40" s="14"/>
      <x:c r="M40" s="14" t="str">
        <x:v>3c66165b79e30425c293548f2a47bd1b75f7e7326f9067b3ac8dc0a73d6a4738</x:v>
      </x:c>
      <x:c r="N40" s="17" t="b">
        <x:v>0</x:v>
      </x:c>
      <x:c r="O40" s="14" t="str">
        <x:v>LGE-R5-GROUP-753692</x:v>
      </x:c>
      <x:c r="P40" s="14" t="n">
        <x:v>46302.05811518519</x:v>
      </x:c>
      <x:c r="Q40" s="14" t="str"/>
      <x:c r="R40" s="17" t="b">
        <x:v>0</x:v>
      </x:c>
      <x:c r="S40" s="14" t="str">
        <x:v>fixed18</x:v>
      </x:c>
    </x:row>
    <x:row r="41" ht="48" customHeight="1">
      <x:c r="A41" s="14" t="str">
        <x:v>747817</x:v>
      </x:c>
      <x:c r="B41" s="14" t="str">
        <x:v>fridge</x:v>
      </x:c>
      <x:c r="C41" s="14" t="str">
        <x:v>T873MEE111</x:v>
      </x:c>
      <x:c r="D41" s="18"/>
      <x:c r="E41" s="14" t="str">
        <x:v>development</x:v>
      </x:c>
      <x:c r="F41" s="15" t="n">
        <x:v>46178</x:v>
      </x:c>
      <x:c r="G41" s="18"/>
      <x:c r="H41" s="16" t="n">
        <x:v>5</x:v>
      </x:c>
      <x:c r="I41" s="14" t="str">
        <x:v>신혼부부 가전을 맞추기위해 찾아보고 있던 도중
타임딜 및 혜택가격으로 생각보다 저렴한데, 성능은 좋은 냉장고를 찾았습니다!!</x:v>
      </x:c>
      <x:c r="J41" s="14" t="str">
        <x:v>https://www.lge.co.kr/mkt/review/MD09322826/pdpReviewListPopup</x:v>
      </x:c>
      <x:c r="K41" s="14" t="str">
        <x:v>#divReviewList &gt; li[data-review-id="747817"] .message</x:v>
      </x:c>
      <x:c r="L41" s="14"/>
      <x:c r="M41" s="14" t="str">
        <x:v>17e578246f1e8fb463d8b2b19ad8e0b929ac92f2583cca63113e155b17a9191c</x:v>
      </x:c>
      <x:c r="N41" s="17" t="b">
        <x:v>0</x:v>
      </x:c>
      <x:c r="O41" s="14" t="str">
        <x:v>LGE-R5-GROUP-747817</x:v>
      </x:c>
      <x:c r="P41" s="14" t="n">
        <x:v>46302.05811518519</x:v>
      </x:c>
      <x:c r="Q41" s="14" t="str"/>
      <x:c r="R41" s="17" t="b">
        <x:v>0</x:v>
      </x:c>
      <x:c r="S41" s="14" t="str">
        <x:v>fixed18</x:v>
      </x:c>
    </x:row>
    <x:row r="42" ht="48" customHeight="1">
      <x:c r="A42" s="14" t="str">
        <x:v>729767</x:v>
      </x:c>
      <x:c r="B42" s="14" t="str">
        <x:v>fridge</x:v>
      </x:c>
      <x:c r="C42" s="14" t="str">
        <x:v>T873MEE111</x:v>
      </x:c>
      <x:c r="D42" s="18"/>
      <x:c r="E42" s="14" t="str">
        <x:v>demonstration</x:v>
      </x:c>
      <x:c r="F42" s="15" t="n">
        <x:v>46162</x:v>
      </x:c>
      <x:c r="G42" s="18"/>
      <x:c r="H42" s="16" t="n">
        <x:v>5</x:v>
      </x:c>
      <x:c r="I42" s="14" t="str">
        <x:v>기사님이 아주친절하시게 설치요 만족합니다 친절한 설명과함께 고객에게 최선을 다하시네여</x:v>
      </x:c>
      <x:c r="J42" s="14" t="str">
        <x:v>https://www.lge.co.kr/mkt/review/MD09322826/pdpReviewListPopup</x:v>
      </x:c>
      <x:c r="K42" s="14" t="str">
        <x:v>#divReviewList &gt; li[data-review-id="729767"] .message</x:v>
      </x:c>
      <x:c r="L42" s="14"/>
      <x:c r="M42" s="14" t="str">
        <x:v>38e6e5a7d6c3b4e6243791d44a357cb657ad062ed645c1409bdca341d55ddcb5</x:v>
      </x:c>
      <x:c r="N42" s="17" t="b">
        <x:v>0</x:v>
      </x:c>
      <x:c r="O42" s="14" t="str">
        <x:v>LGE-R5-GROUP-729767</x:v>
      </x:c>
      <x:c r="P42" s="14" t="n">
        <x:v>46302.05811518519</x:v>
      </x:c>
      <x:c r="Q42" s="14" t="str"/>
      <x:c r="R42" s="17" t="b">
        <x:v>0</x:v>
      </x:c>
      <x:c r="S42" s="14" t="str">
        <x:v>fixed18</x:v>
      </x:c>
    </x:row>
    <x:row r="43" ht="48" customHeight="1">
      <x:c r="A43" s="14" t="str">
        <x:v>729233</x:v>
      </x:c>
      <x:c r="B43" s="14" t="str">
        <x:v>fridge</x:v>
      </x:c>
      <x:c r="C43" s="14" t="str">
        <x:v>T873MEE111</x:v>
      </x:c>
      <x:c r="D43" s="18"/>
      <x:c r="E43" s="14" t="str">
        <x:v>development</x:v>
      </x:c>
      <x:c r="F43" s="15" t="n">
        <x:v>46162</x:v>
      </x:c>
      <x:c r="G43" s="18"/>
      <x:c r="H43" s="16" t="n">
        <x:v>5</x:v>
      </x:c>
      <x:c r="I43" s="14" t="str">
        <x:v>용량무엇 괴물용량 너무좋아요 수납도 좋고 디자인
컬러도 너무좋아요</x:v>
      </x:c>
      <x:c r="J43" s="14" t="str">
        <x:v>https://www.lge.co.kr/mkt/review/MD09322826/pdpReviewListPopup</x:v>
      </x:c>
      <x:c r="K43" s="14" t="str">
        <x:v>#divReviewList &gt; li[data-review-id="729233"] .message</x:v>
      </x:c>
      <x:c r="L43" s="14"/>
      <x:c r="M43" s="14" t="str">
        <x:v>09f3c9691403594160f6fcd402111d6f1cfd8769c8b3f37c75e65cca730d53ec</x:v>
      </x:c>
      <x:c r="N43" s="17" t="b">
        <x:v>0</x:v>
      </x:c>
      <x:c r="O43" s="14" t="str">
        <x:v>LGE-R5-GROUP-729233</x:v>
      </x:c>
      <x:c r="P43" s="14" t="n">
        <x:v>46302.05811518519</x:v>
      </x:c>
      <x:c r="Q43" s="14" t="str"/>
      <x:c r="R43" s="17" t="b">
        <x:v>0</x:v>
      </x:c>
      <x:c r="S43" s="14" t="str">
        <x:v>fixed18</x:v>
      </x:c>
    </x:row>
    <x:row r="44" ht="84" customHeight="1">
      <x:c r="A44" s="14" t="str">
        <x:v>723068</x:v>
      </x:c>
      <x:c r="B44" s="14" t="str">
        <x:v>fridge</x:v>
      </x:c>
      <x:c r="C44" s="14" t="str">
        <x:v>T873MEE111</x:v>
      </x:c>
      <x:c r="D44" s="18"/>
      <x:c r="E44" s="14" t="str">
        <x:v>development</x:v>
      </x:c>
      <x:c r="F44" s="15" t="n">
        <x:v>46155</x:v>
      </x:c>
      <x:c r="G44" s="18"/>
      <x:c r="H44" s="16" t="n">
        <x:v>5</x:v>
      </x:c>
      <x:c r="I44" s="14" t="str">
        <x:v>기존 사용하던 삼성냉장고가 고장나
급하게 구입하게 됐는데 배송도 빠르고
설치기사님들도 엄청 친절하셨네요~
용량이 넓어서 수납력도 좋고 무엇보다
냉동실이 넓어서 만족스럽습니다~</x:v>
      </x:c>
      <x:c r="J44" s="14" t="str">
        <x:v>https://www.lge.co.kr/mkt/review/MD09322826/pdpReviewListPopup</x:v>
      </x:c>
      <x:c r="K44" s="14" t="str">
        <x:v>#divReviewList &gt; li[data-review-id="723068"] .message</x:v>
      </x:c>
      <x:c r="L44" s="14"/>
      <x:c r="M44" s="14" t="str">
        <x:v>976fd93b9d424de10aae53b59d72dbe6603e5cea677ad99bcc4c4ef0fae645b9</x:v>
      </x:c>
      <x:c r="N44" s="17" t="b">
        <x:v>0</x:v>
      </x:c>
      <x:c r="O44" s="14" t="str">
        <x:v>LGE-R5-GROUP-723068</x:v>
      </x:c>
      <x:c r="P44" s="14" t="n">
        <x:v>46302.05811518519</x:v>
      </x:c>
      <x:c r="Q44" s="14" t="str"/>
      <x:c r="R44" s="17" t="b">
        <x:v>0</x:v>
      </x:c>
      <x:c r="S44" s="14" t="str">
        <x:v>fixed18</x:v>
      </x:c>
    </x:row>
    <x:row r="45" ht="48" customHeight="1">
      <x:c r="A45" s="14" t="str">
        <x:v>779050</x:v>
      </x:c>
      <x:c r="B45" s="14" t="str">
        <x:v>fridge</x:v>
      </x:c>
      <x:c r="C45" s="14" t="str">
        <x:v>D502MEE33</x:v>
      </x:c>
      <x:c r="D45" s="18"/>
      <x:c r="E45" s="14" t="str">
        <x:v>development</x:v>
      </x:c>
      <x:c r="F45" s="15" t="n">
        <x:v>46209</x:v>
      </x:c>
      <x:c r="G45" s="18"/>
      <x:c r="H45" s="16" t="n">
        <x:v>5</x:v>
      </x:c>
      <x:c r="I45" s="14" t="str">
        <x:v>부부 둘이 쓰기에 작지도 않고 안쪽 구성이 너무 좋아요.양문형 썼었는데 가격이나 쓰임새 등 너무 좋습니다</x:v>
      </x:c>
      <x:c r="J45" s="14" t="str">
        <x:v>https://www.lge.co.kr/mkt/review/MD09811829/pdpReviewListPopup</x:v>
      </x:c>
      <x:c r="K45" s="14" t="str">
        <x:v>#divReviewList &gt; li[data-review-id="779050"] .message</x:v>
      </x:c>
      <x:c r="L45" s="14"/>
      <x:c r="M45" s="14" t="str">
        <x:v>ad541954b9752b999f7bea22ffbf4eb28799ad302dedf64bd03cdf5a5f2eada9</x:v>
      </x:c>
      <x:c r="N45" s="17" t="b">
        <x:v>0</x:v>
      </x:c>
      <x:c r="O45" s="14" t="str">
        <x:v>LGE-R5-GROUP-779050</x:v>
      </x:c>
      <x:c r="P45" s="14" t="n">
        <x:v>46302.05813666667</x:v>
      </x:c>
      <x:c r="Q45" s="14" t="str"/>
      <x:c r="R45" s="17" t="b">
        <x:v>0</x:v>
      </x:c>
      <x:c r="S45" s="14" t="str">
        <x:v>fixed18</x:v>
      </x:c>
    </x:row>
    <x:row r="46" ht="48" customHeight="1">
      <x:c r="A46" s="14" t="str">
        <x:v>79363</x:v>
      </x:c>
      <x:c r="B46" s="14" t="str">
        <x:v>fridge</x:v>
      </x:c>
      <x:c r="C46" s="14" t="str">
        <x:v>D502MEE33</x:v>
      </x:c>
      <x:c r="D46" s="18"/>
      <x:c r="E46" s="14" t="str">
        <x:v>independent_evaluation</x:v>
      </x:c>
      <x:c r="F46" s="15" t="n">
        <x:v>45470</x:v>
      </x:c>
      <x:c r="G46" s="18"/>
      <x:c r="H46" s="16" t="n">
        <x:v>5</x:v>
      </x:c>
      <x:c r="I46" s="14" t="str">
        <x:v>여러모로 사용하기 좋습니다</x:v>
      </x:c>
      <x:c r="J46" s="14" t="str">
        <x:v>https://www.lge.co.kr/mkt/review/MD09811829/pdpReviewListPopup</x:v>
      </x:c>
      <x:c r="K46" s="14" t="str">
        <x:v>#divReviewList &gt; li[data-review-id="79363"] .message</x:v>
      </x:c>
      <x:c r="L46" s="14"/>
      <x:c r="M46" s="14" t="str">
        <x:v>cc04dee4b00fb3951915bed4f3d58c0e95fe913ca18c146d8e53627c3d35eace</x:v>
      </x:c>
      <x:c r="N46" s="17" t="b">
        <x:v>0</x:v>
      </x:c>
      <x:c r="O46" s="14" t="str">
        <x:v>LGE-R5-GROUP-79363</x:v>
      </x:c>
      <x:c r="P46" s="14" t="n">
        <x:v>46302.05813666667</x:v>
      </x:c>
      <x:c r="Q46" s="14" t="str"/>
      <x:c r="R46" s="17" t="b">
        <x:v>0</x:v>
      </x:c>
      <x:c r="S46" s="14" t="str">
        <x:v>fixed18</x:v>
      </x:c>
    </x:row>
    <x:row r="47" ht="48" customHeight="1">
      <x:c r="A47" s="14" t="str">
        <x:v>855415</x:v>
      </x:c>
      <x:c r="B47" s="14" t="str">
        <x:v>fridge</x:v>
      </x:c>
      <x:c r="C47" s="14" t="str">
        <x:v>D502MEE33</x:v>
      </x:c>
      <x:c r="D47" s="18"/>
      <x:c r="E47" s="14" t="str">
        <x:v>development</x:v>
      </x:c>
      <x:c r="F47" s="15" t="n">
        <x:v>46294</x:v>
      </x:c>
      <x:c r="G47" s="18"/>
      <x:c r="H47" s="16" t="n">
        <x:v>5</x:v>
      </x:c>
      <x:c r="I47" s="14" t="str">
        <x:v>좋습니다 너무 좋아요 타사보다 가격이 쎄지만 그래도 좋아요.</x:v>
      </x:c>
      <x:c r="J47" s="14" t="str">
        <x:v>https://www.lge.co.kr/mkt/review/MD09811829/pdpReviewListPopup</x:v>
      </x:c>
      <x:c r="K47" s="14" t="str">
        <x:v>#divReviewList &gt; li[data-review-id="855415"] .message</x:v>
      </x:c>
      <x:c r="L47" s="14"/>
      <x:c r="M47" s="14" t="str">
        <x:v>6651224ea0c11a4ba195f2ad98c4d7514cfaa10ee798d46c8775feb07aaa7a05</x:v>
      </x:c>
      <x:c r="N47" s="17" t="b">
        <x:v>0</x:v>
      </x:c>
      <x:c r="O47" s="14" t="str">
        <x:v>LGE-R5-GROUP-855415</x:v>
      </x:c>
      <x:c r="P47" s="14" t="n">
        <x:v>46302.05813666667</x:v>
      </x:c>
      <x:c r="Q47" s="14" t="str"/>
      <x:c r="R47" s="17" t="b">
        <x:v>0</x:v>
      </x:c>
      <x:c r="S47" s="14" t="str">
        <x:v>fixed18</x:v>
      </x:c>
    </x:row>
    <x:row r="48" ht="48" customHeight="1">
      <x:c r="A48" s="14" t="str">
        <x:v>852744</x:v>
      </x:c>
      <x:c r="B48" s="14" t="str">
        <x:v>fridge</x:v>
      </x:c>
      <x:c r="C48" s="14" t="str">
        <x:v>D502MEE33</x:v>
      </x:c>
      <x:c r="D48" s="18"/>
      <x:c r="E48" s="14" t="str">
        <x:v>development</x:v>
      </x:c>
      <x:c r="F48" s="15" t="n">
        <x:v>46291</x:v>
      </x:c>
      <x:c r="G48" s="18"/>
      <x:c r="H48" s="16" t="n">
        <x:v>5</x:v>
      </x:c>
      <x:c r="I48" s="14" t="str">
        <x:v>세컨하우스에 사용중입니다. 적당한 크기예요. 엘즤라 믿고 샀어요</x:v>
      </x:c>
      <x:c r="J48" s="14" t="str">
        <x:v>https://www.lge.co.kr/mkt/review/MD09811829/pdpReviewListPopup</x:v>
      </x:c>
      <x:c r="K48" s="14" t="str">
        <x:v>#divReviewList &gt; li[data-review-id="852744"] .message</x:v>
      </x:c>
      <x:c r="L48" s="14"/>
      <x:c r="M48" s="14" t="str">
        <x:v>dce04efe9f32bbbf2c240454e52c7ce9c8122a6caae2aa4cf2e154fe4ba85309</x:v>
      </x:c>
      <x:c r="N48" s="17" t="b">
        <x:v>0</x:v>
      </x:c>
      <x:c r="O48" s="14" t="str">
        <x:v>LGE-R5-GROUP-852744</x:v>
      </x:c>
      <x:c r="P48" s="14" t="n">
        <x:v>46302.05813666667</x:v>
      </x:c>
      <x:c r="Q48" s="14" t="str"/>
      <x:c r="R48" s="17" t="b">
        <x:v>0</x:v>
      </x:c>
      <x:c r="S48" s="14" t="str">
        <x:v>fixed18</x:v>
      </x:c>
    </x:row>
    <x:row r="49" ht="48" customHeight="1">
      <x:c r="A49" s="14" t="str">
        <x:v>844870</x:v>
      </x:c>
      <x:c r="B49" s="14" t="str">
        <x:v>fridge</x:v>
      </x:c>
      <x:c r="C49" s="14" t="str">
        <x:v>D502MEE33</x:v>
      </x:c>
      <x:c r="D49" s="18"/>
      <x:c r="E49" s="14" t="str">
        <x:v>development</x:v>
      </x:c>
      <x:c r="F49" s="15" t="n">
        <x:v>46279</x:v>
      </x:c>
      <x:c r="G49" s="18"/>
      <x:c r="H49" s="16" t="n">
        <x:v>5</x:v>
      </x:c>
      <x:c r="I49" s="14" t="str">
        <x:v>외할머니 집에 냉장고 바꿔드렸습니다~~좋아하시네요!! 냉장고 깔끔하니 좋아요</x:v>
      </x:c>
      <x:c r="J49" s="14" t="str">
        <x:v>https://www.lge.co.kr/mkt/review/MD09811829/pdpReviewListPopup</x:v>
      </x:c>
      <x:c r="K49" s="14" t="str">
        <x:v>#divReviewList &gt; li[data-review-id="844870"] .message</x:v>
      </x:c>
      <x:c r="L49" s="14"/>
      <x:c r="M49" s="14" t="str">
        <x:v>159ef3c8030f90a26c31352dccb875c52a32ab2bc35f5490c3e4bb8ccbdf0e64</x:v>
      </x:c>
      <x:c r="N49" s="17" t="b">
        <x:v>0</x:v>
      </x:c>
      <x:c r="O49" s="14" t="str">
        <x:v>LGE-R5-GROUP-844870</x:v>
      </x:c>
      <x:c r="P49" s="14" t="n">
        <x:v>46302.05813666667</x:v>
      </x:c>
      <x:c r="Q49" s="14" t="str"/>
      <x:c r="R49" s="17" t="b">
        <x:v>0</x:v>
      </x:c>
      <x:c r="S49" s="14" t="str">
        <x:v>fixed18</x:v>
      </x:c>
    </x:row>
    <x:row r="50" ht="159" customHeight="1">
      <x:c r="A50" s="14" t="str">
        <x:v>843624</x:v>
      </x:c>
      <x:c r="B50" s="14" t="str">
        <x:v>fridge</x:v>
      </x:c>
      <x:c r="C50" s="14" t="str">
        <x:v>D502MEE33</x:v>
      </x:c>
      <x:c r="D50" s="18"/>
      <x:c r="E50" s="14" t="str">
        <x:v>development</x:v>
      </x:c>
      <x:c r="F50" s="15" t="n">
        <x:v>46277</x:v>
      </x:c>
      <x:c r="G50" s="18"/>
      <x:c r="H50" s="16" t="n">
        <x:v>5</x:v>
      </x:c>
      <x:c r="I50" s="14" t="str">
        <x:v>일반형 냉장고 중에서 디자인이 마음에 들어 고민 끝에 구입했습니다.
실제로 받아보니 생각했던 것보다 디자인도 깔끔하고 전체적으로 만족스럽네요. 주방 분위기와도 잘 어울려서 선택하길 잘했다는 생각이 듭니다.
무엇보다 늦은 시간까지 고생하시면서도 친절하게 배송과 설치를 해주신 기사님 덕분에 기분 좋게 받아볼 수 있었습니다. 제품도 꼼꼼하게 확인해 주시고 끝까지 친절하게 응대해 주셔서 정말 감사했습니다.
별 5개가 아니라 별 5만 개라도 드리고 싶은 마음이네요. 😊
늦은 시간까지 고생해 주신 기사님 정말 감사합니다!</x:v>
      </x:c>
      <x:c r="J50" s="14" t="str">
        <x:v>https://www.lge.co.kr/mkt/review/MD09811829/pdpReviewListPopup</x:v>
      </x:c>
      <x:c r="K50" s="14" t="str">
        <x:v>#divReviewList &gt; li[data-review-id="843624"] .message</x:v>
      </x:c>
      <x:c r="L50" s="14"/>
      <x:c r="M50" s="14" t="str">
        <x:v>d9f69c039b2b8a24119193f70c48e10e862ed82b024fec68ed4322d9e340895e</x:v>
      </x:c>
      <x:c r="N50" s="17" t="b">
        <x:v>0</x:v>
      </x:c>
      <x:c r="O50" s="14" t="str">
        <x:v>LGE-R5-GROUP-843624</x:v>
      </x:c>
      <x:c r="P50" s="14" t="n">
        <x:v>46302.05813666667</x:v>
      </x:c>
      <x:c r="Q50" s="14" t="str"/>
      <x:c r="R50" s="17" t="b">
        <x:v>0</x:v>
      </x:c>
      <x:c r="S50" s="14" t="str">
        <x:v>fixed18</x:v>
      </x:c>
    </x:row>
    <x:row r="51" ht="48" customHeight="1">
      <x:c r="A51" s="14" t="str">
        <x:v>843422</x:v>
      </x:c>
      <x:c r="B51" s="14" t="str">
        <x:v>fridge</x:v>
      </x:c>
      <x:c r="C51" s="14" t="str">
        <x:v>D502MEE33</x:v>
      </x:c>
      <x:c r="D51" s="18"/>
      <x:c r="E51" s="14" t="str">
        <x:v>development</x:v>
      </x:c>
      <x:c r="F51" s="15" t="n">
        <x:v>46277</x:v>
      </x:c>
      <x:c r="G51" s="18"/>
      <x:c r="H51" s="16" t="n">
        <x:v>5</x:v>
      </x:c>
      <x:c r="I51" s="14" t="str">
        <x:v>디자인도 깔끔하고 냉장냉동 기능도 잘되네요 안에 보관공간도 넉넉하구요 배송도 빠르고 설치기사님도 친절합니다</x:v>
      </x:c>
      <x:c r="J51" s="14" t="str">
        <x:v>https://www.lge.co.kr/mkt/review/MD09811829/pdpReviewListPopup</x:v>
      </x:c>
      <x:c r="K51" s="14" t="str">
        <x:v>#divReviewList &gt; li[data-review-id="843422"] .message</x:v>
      </x:c>
      <x:c r="L51" s="14"/>
      <x:c r="M51" s="14" t="str">
        <x:v>523b27170c17379829e65ed1b826329daa1cf833da913667960bbf91e07736fb</x:v>
      </x:c>
      <x:c r="N51" s="17" t="b">
        <x:v>0</x:v>
      </x:c>
      <x:c r="O51" s="14" t="str">
        <x:v>LGE-R5-GROUP-843422</x:v>
      </x:c>
      <x:c r="P51" s="14" t="n">
        <x:v>46302.05813666667</x:v>
      </x:c>
      <x:c r="Q51" s="14" t="str"/>
      <x:c r="R51" s="17" t="b">
        <x:v>0</x:v>
      </x:c>
      <x:c r="S51" s="14" t="str">
        <x:v>fixed18</x:v>
      </x:c>
    </x:row>
    <x:row r="52" ht="48" customHeight="1">
      <x:c r="A52" s="14" t="str">
        <x:v>837864</x:v>
      </x:c>
      <x:c r="B52" s="14" t="str">
        <x:v>fridge</x:v>
      </x:c>
      <x:c r="C52" s="14" t="str">
        <x:v>D502MEE33</x:v>
      </x:c>
      <x:c r="D52" s="18"/>
      <x:c r="E52" s="14" t="str">
        <x:v>demonstration</x:v>
      </x:c>
      <x:c r="F52" s="15" t="n">
        <x:v>46270</x:v>
      </x:c>
      <x:c r="G52" s="18"/>
      <x:c r="H52" s="16" t="n">
        <x:v>5</x:v>
      </x:c>
      <x:c r="I52" s="14" t="str">
        <x:v>가성비가 좋고 냉장고의 본래 기능에 충실하고 훌륭합니다. 무엇보다 디자인이 좋네요</x:v>
      </x:c>
      <x:c r="J52" s="14" t="str">
        <x:v>https://www.lge.co.kr/mkt/review/MD09811829/pdpReviewListPopup</x:v>
      </x:c>
      <x:c r="K52" s="14" t="str">
        <x:v>#divReviewList &gt; li[data-review-id="837864"] .message</x:v>
      </x:c>
      <x:c r="L52" s="14"/>
      <x:c r="M52" s="14" t="str">
        <x:v>a7f2d6a7c9e3796fbac2d28a6288ba8112419725a27e23dbb188a89128c10650</x:v>
      </x:c>
      <x:c r="N52" s="17" t="b">
        <x:v>0</x:v>
      </x:c>
      <x:c r="O52" s="14" t="str">
        <x:v>LGE-R5-GROUP-837864</x:v>
      </x:c>
      <x:c r="P52" s="14" t="n">
        <x:v>46302.05813666667</x:v>
      </x:c>
      <x:c r="Q52" s="14" t="str"/>
      <x:c r="R52" s="17" t="b">
        <x:v>0</x:v>
      </x:c>
      <x:c r="S52" s="14" t="str">
        <x:v>fixed18</x:v>
      </x:c>
    </x:row>
    <x:row r="53" ht="144" customHeight="1">
      <x:c r="A53" s="14" t="str">
        <x:v>836735</x:v>
      </x:c>
      <x:c r="B53" s="14" t="str">
        <x:v>fridge</x:v>
      </x:c>
      <x:c r="C53" s="14" t="str">
        <x:v>D502MEE33</x:v>
      </x:c>
      <x:c r="D53" s="18"/>
      <x:c r="E53" s="14" t="str">
        <x:v>demonstration</x:v>
      </x:c>
      <x:c r="F53" s="15" t="n">
        <x:v>46269</x:v>
      </x:c>
      <x:c r="G53" s="18"/>
      <x:c r="H53" s="16" t="n">
        <x:v>5</x:v>
      </x:c>
      <x:c r="I53" s="14" t="str">
        <x:v>기존에 쓰던 lg냉장고 엄청 오래썼는데 고장이 나서 
공간제약이 있어서 최대한 비슷한 사이즈로 찾았는데
사이즈 비슷해서 좋았어용 !
색상이 다양하지 않아서 아쉬웠지만
무광인데 깔끔하고 세련되고 좋아용 😄😄
일반냉장고 시중에 나온 제품들
문쪽에 수납공간이 너무 부족했는데
이건 옛날냉장고랑 비슷하게 아래쪽까지
수납공간 있어서 만족해용!</x:v>
      </x:c>
      <x:c r="J53" s="14" t="str">
        <x:v>https://www.lge.co.kr/mkt/review/MD09811829/pdpReviewListPopup</x:v>
      </x:c>
      <x:c r="K53" s="14" t="str">
        <x:v>#divReviewList &gt; li[data-review-id="836735"] .message</x:v>
      </x:c>
      <x:c r="L53" s="14"/>
      <x:c r="M53" s="14" t="str">
        <x:v>c18fa48a06230bd553bdf89a85070f0ce6f2c0ab5d1c1fdb6a78c90b226c288d</x:v>
      </x:c>
      <x:c r="N53" s="17" t="b">
        <x:v>0</x:v>
      </x:c>
      <x:c r="O53" s="14" t="str">
        <x:v>LGE-R5-GROUP-836735</x:v>
      </x:c>
      <x:c r="P53" s="14" t="n">
        <x:v>46302.05813666667</x:v>
      </x:c>
      <x:c r="Q53" s="14" t="str"/>
      <x:c r="R53" s="17" t="b">
        <x:v>0</x:v>
      </x:c>
      <x:c r="S53" s="14" t="str">
        <x:v>fixed18</x:v>
      </x:c>
    </x:row>
    <x:row r="54" ht="54" customHeight="1">
      <x:c r="A54" s="14" t="str">
        <x:v>834674</x:v>
      </x:c>
      <x:c r="B54" s="14" t="str">
        <x:v>fridge</x:v>
      </x:c>
      <x:c r="C54" s="14" t="str">
        <x:v>D502MEE33</x:v>
      </x:c>
      <x:c r="D54" s="18"/>
      <x:c r="E54" s="14" t="str">
        <x:v>development</x:v>
      </x:c>
      <x:c r="F54" s="15" t="n">
        <x:v>46266</x:v>
      </x:c>
      <x:c r="G54" s="18"/>
      <x:c r="H54" s="16" t="n">
        <x:v>5</x:v>
      </x:c>
      <x:c r="I54" s="14" t="str">
        <x:v>잘 쓰고 있습니다.
디자인도 이쁘고 내부 공간도 좋습니다.</x:v>
      </x:c>
      <x:c r="J54" s="14" t="str">
        <x:v>https://www.lge.co.kr/mkt/review/MD09811829/pdpReviewListPopup</x:v>
      </x:c>
      <x:c r="K54" s="14" t="str">
        <x:v>#divReviewList &gt; li[data-review-id="834674"] .message</x:v>
      </x:c>
      <x:c r="L54" s="14"/>
      <x:c r="M54" s="14" t="str">
        <x:v>faa65e3d4fcf42361da31b00b7c6e4b5659542c8abb033fe72c5413c073f517e</x:v>
      </x:c>
      <x:c r="N54" s="17" t="b">
        <x:v>0</x:v>
      </x:c>
      <x:c r="O54" s="14" t="str">
        <x:v>LGE-R5-GROUP-834674</x:v>
      </x:c>
      <x:c r="P54" s="14" t="n">
        <x:v>46302.05813666667</x:v>
      </x:c>
      <x:c r="Q54" s="14" t="str"/>
      <x:c r="R54" s="17" t="b">
        <x:v>0</x:v>
      </x:c>
      <x:c r="S54" s="14" t="str">
        <x:v>fixed18</x:v>
      </x:c>
    </x:row>
    <x:row r="55" ht="48" customHeight="1">
      <x:c r="A55" s="14" t="str">
        <x:v>859123</x:v>
      </x:c>
      <x:c r="B55" s="14" t="str">
        <x:v>fridge</x:v>
      </x:c>
      <x:c r="C55" s="14" t="str">
        <x:v>Q405MEE133</x:v>
      </x:c>
      <x:c r="D55" s="18"/>
      <x:c r="E55" s="14" t="str">
        <x:v>development</x:v>
      </x:c>
      <x:c r="F55" s="15" t="n">
        <x:v>46298</x:v>
      </x:c>
      <x:c r="G55" s="18"/>
      <x:c r="H55" s="16" t="n">
        <x:v>5</x:v>
      </x:c>
      <x:c r="I55" s="14" t="str">
        <x:v>냉동실은맞는데 냉당실은크네요 전에것도 엘지인데 1인가구쓰기좋네요 3등급치고가격좀나가네요</x:v>
      </x:c>
      <x:c r="J55" s="14" t="str">
        <x:v>https://www.lge.co.kr/mkt/review/MD10715832/pdpReviewListPopup</x:v>
      </x:c>
      <x:c r="K55" s="14" t="str">
        <x:v>#divReviewList &gt; li[data-review-id="859123"] .message</x:v>
      </x:c>
      <x:c r="L55" s="14"/>
      <x:c r="M55" s="14" t="str">
        <x:v>fcc5833dfe880f361f09f7c4689f15ff6e91f1a8259267fa034312b8b57ab0e1</x:v>
      </x:c>
      <x:c r="N55" s="17" t="b">
        <x:v>0</x:v>
      </x:c>
      <x:c r="O55" s="14" t="str">
        <x:v>LGE-R5-GROUP-859123</x:v>
      </x:c>
      <x:c r="P55" s="14" t="n">
        <x:v>46302.058151226855</x:v>
      </x:c>
      <x:c r="Q55" s="14" t="str"/>
      <x:c r="R55" s="17" t="b">
        <x:v>0</x:v>
      </x:c>
      <x:c r="S55" s="14" t="str">
        <x:v>fixed18</x:v>
      </x:c>
    </x:row>
    <x:row r="56" ht="48" customHeight="1">
      <x:c r="A56" s="14" t="str">
        <x:v>846540</x:v>
      </x:c>
      <x:c r="B56" s="14" t="str">
        <x:v>fridge</x:v>
      </x:c>
      <x:c r="C56" s="14" t="str">
        <x:v>Q405MEE133</x:v>
      </x:c>
      <x:c r="D56" s="18"/>
      <x:c r="E56" s="14" t="str">
        <x:v>quarantine</x:v>
      </x:c>
      <x:c r="F56" s="15" t="n">
        <x:v>46281</x:v>
      </x:c>
      <x:c r="G56" s="18"/>
      <x:c r="H56" s="16" t="n">
        <x:v>5</x:v>
      </x:c>
      <x:c r="I56" s="14" t="str">
        <x:v>일단,, 예쁩니다. 기존 슬림한 제품에서 좀 더 커져서 존재감 넘치네요. 기능은 뭐 말할 것도 없고, 제가 키가 작아서 높은 데 있는 물건 꺼내기는 쉽진 않네요.</x:v>
      </x:c>
      <x:c r="J56" s="14" t="str">
        <x:v>https://www.lge.co.kr/mkt/review/MD10715832/pdpReviewListPopup</x:v>
      </x:c>
      <x:c r="K56" s="14" t="str">
        <x:v>#divReviewList &gt; li[data-review-id="846540"] .message</x:v>
      </x:c>
      <x:c r="L56" s="14"/>
      <x:c r="M56" s="14" t="str">
        <x:v>7cc850cdde73abacdf13f7fc6dfe5ad0bd7996a05f29e25c484a236735e2d188</x:v>
      </x:c>
      <x:c r="N56" s="17" t="b">
        <x:v>0</x:v>
      </x:c>
      <x:c r="O56" s="14" t="str">
        <x:v>LGE-R5-GROUP-846540</x:v>
      </x:c>
      <x:c r="P56" s="14" t="n">
        <x:v>46302.058151226855</x:v>
      </x:c>
      <x:c r="Q56" s="14" t="str">
        <x:v>review_list_model_differs</x:v>
      </x:c>
      <x:c r="R56" s="17" t="b">
        <x:v>0</x:v>
      </x:c>
      <x:c r="S56" s="14" t="str">
        <x:v>fixed18</x:v>
      </x:c>
    </x:row>
    <x:row r="57" ht="54" customHeight="1">
      <x:c r="A57" s="14" t="str">
        <x:v>832096</x:v>
      </x:c>
      <x:c r="B57" s="14" t="str">
        <x:v>fridge</x:v>
      </x:c>
      <x:c r="C57" s="14" t="str">
        <x:v>Q405MEE133</x:v>
      </x:c>
      <x:c r="D57" s="18"/>
      <x:c r="E57" s="14" t="str">
        <x:v>quarantine</x:v>
      </x:c>
      <x:c r="F57" s="15" t="n">
        <x:v>46264</x:v>
      </x:c>
      <x:c r="G57" s="18"/>
      <x:c r="H57" s="16" t="n">
        <x:v>5</x:v>
      </x:c>
      <x:c r="I57" s="14" t="str">
        <x:v>냉장고자리가 폭이 다르고 옛날 양문형 모양에 맞춰나와서 고심끝에 모던엣지 칫앤맥스+오브제 김치톡톡 핏앤맥스 324l(3도어) +옆에 틈새장50cm와 거기에 딱맞는 오브제컬렉션 전자레인지 20L 놓았어요. 크기가 거의 딱 맞아서 좋네요.</x:v>
      </x:c>
      <x:c r="J57" s="14" t="str">
        <x:v>https://www.lge.co.kr/mkt/review/MD10715832/pdpReviewListPopup</x:v>
      </x:c>
      <x:c r="K57" s="14" t="str">
        <x:v>#divReviewList &gt; li[data-review-id="832096"] .message</x:v>
      </x:c>
      <x:c r="L57" s="14"/>
      <x:c r="M57" s="14" t="str">
        <x:v>b0d537bc7ecaa97082274af1de6fc8e02e6a9643df1d270218c6a231801439e7</x:v>
      </x:c>
      <x:c r="N57" s="17" t="b">
        <x:v>0</x:v>
      </x:c>
      <x:c r="O57" s="14" t="str">
        <x:v>LGE-R5-GROUP-832096</x:v>
      </x:c>
      <x:c r="P57" s="14" t="n">
        <x:v>46302.058151226855</x:v>
      </x:c>
      <x:c r="Q57" s="14" t="str">
        <x:v>review_list_model_differs</x:v>
      </x:c>
      <x:c r="R57" s="17" t="b">
        <x:v>0</x:v>
      </x:c>
      <x:c r="S57" s="14" t="str">
        <x:v>fixed18</x:v>
      </x:c>
    </x:row>
    <x:row r="58" ht="48" customHeight="1">
      <x:c r="A58" s="14" t="str">
        <x:v>810385</x:v>
      </x:c>
      <x:c r="B58" s="14" t="str">
        <x:v>fridge</x:v>
      </x:c>
      <x:c r="C58" s="14" t="str">
        <x:v>Q405MEE133</x:v>
      </x:c>
      <x:c r="D58" s="18"/>
      <x:c r="E58" s="14" t="str">
        <x:v>quarantine</x:v>
      </x:c>
      <x:c r="F58" s="15" t="n">
        <x:v>46238</x:v>
      </x:c>
      <x:c r="G58" s="18"/>
      <x:c r="H58" s="16" t="n">
        <x:v>5</x:v>
      </x:c>
      <x:c r="I58" s="14" t="str">
        <x:v>깔끔한 외관에 생각보다 냉장실 용량도 크게 느껴져요. 간편한 냉장고의 기능에 충실하면서도 적은 소음도 작고 좋아요. 많이 고민했었는데 만족합니다!</x:v>
      </x:c>
      <x:c r="J58" s="14" t="str">
        <x:v>https://www.lge.co.kr/mkt/review/MD10715832/pdpReviewListPopup</x:v>
      </x:c>
      <x:c r="K58" s="14" t="str">
        <x:v>#divReviewList &gt; li[data-review-id="810385"] .message</x:v>
      </x:c>
      <x:c r="L58" s="14"/>
      <x:c r="M58" s="14" t="str">
        <x:v>f7041e6b09edb342bc6032b73ddc840fb18db515c36c5ce9b158950cc96f60fa</x:v>
      </x:c>
      <x:c r="N58" s="17" t="b">
        <x:v>0</x:v>
      </x:c>
      <x:c r="O58" s="14" t="str">
        <x:v>LGE-R5-GROUP-810385</x:v>
      </x:c>
      <x:c r="P58" s="14" t="n">
        <x:v>46302.058151226855</x:v>
      </x:c>
      <x:c r="Q58" s="14" t="str">
        <x:v>review_list_model_differs</x:v>
      </x:c>
      <x:c r="R58" s="17" t="b">
        <x:v>0</x:v>
      </x:c>
      <x:c r="S58" s="14" t="str">
        <x:v>fixed18</x:v>
      </x:c>
    </x:row>
    <x:row r="59" ht="48" customHeight="1">
      <x:c r="A59" s="14" t="str">
        <x:v>781872</x:v>
      </x:c>
      <x:c r="B59" s="14" t="str">
        <x:v>fridge</x:v>
      </x:c>
      <x:c r="C59" s="14" t="str">
        <x:v>Q405MEE133</x:v>
      </x:c>
      <x:c r="D59" s="18"/>
      <x:c r="E59" s="14" t="str">
        <x:v>quarantine</x:v>
      </x:c>
      <x:c r="F59" s="15" t="n">
        <x:v>46212</x:v>
      </x:c>
      <x:c r="G59" s="18"/>
      <x:c r="H59" s="16" t="n">
        <x:v>5</x:v>
      </x:c>
      <x:c r="I59" s="14" t="str">
        <x:v>냉장고를 많이 쓰지 않을 것 같아서 양문형 냉장고가 아닌 해당 제품을 골랐습니다. 딱 좋은 크기인 것 같습니다. 자동으로 문이 끝까지 안닫히는 것은 살짝 불편하지만 앱으로 문열림 알림이 오더라구요. 좋습니다.</x:v>
      </x:c>
      <x:c r="J59" s="14" t="str">
        <x:v>https://www.lge.co.kr/mkt/review/MD10715832/pdpReviewListPopup</x:v>
      </x:c>
      <x:c r="K59" s="14" t="str">
        <x:v>#divReviewList &gt; li[data-review-id="781872"] .message</x:v>
      </x:c>
      <x:c r="L59" s="14"/>
      <x:c r="M59" s="14" t="str">
        <x:v>3d6fef9ac31cdc66aacd0bd0b1083f4b6e7bb3cbc4720d6f200b56320c5bb898</x:v>
      </x:c>
      <x:c r="N59" s="17" t="b">
        <x:v>0</x:v>
      </x:c>
      <x:c r="O59" s="14" t="str">
        <x:v>LGE-R5-GROUP-781872</x:v>
      </x:c>
      <x:c r="P59" s="14" t="n">
        <x:v>46302.058151226855</x:v>
      </x:c>
      <x:c r="Q59" s="14" t="str">
        <x:v>review_list_model_differs</x:v>
      </x:c>
      <x:c r="R59" s="17" t="b">
        <x:v>0</x:v>
      </x:c>
      <x:c r="S59" s="14" t="str">
        <x:v>fixed18</x:v>
      </x:c>
    </x:row>
    <x:row r="60" ht="48" customHeight="1">
      <x:c r="A60" s="14" t="str">
        <x:v>767730</x:v>
      </x:c>
      <x:c r="B60" s="14" t="str">
        <x:v>fridge</x:v>
      </x:c>
      <x:c r="C60" s="14" t="str">
        <x:v>Q405MEE133</x:v>
      </x:c>
      <x:c r="D60" s="18"/>
      <x:c r="E60" s="14" t="str">
        <x:v>quarantine</x:v>
      </x:c>
      <x:c r="F60" s="15" t="n">
        <x:v>46199</x:v>
      </x:c>
      <x:c r="G60" s="18"/>
      <x:c r="H60" s="16" t="n">
        <x:v>5</x:v>
      </x:c>
      <x:c r="I60" s="14" t="str">
        <x:v>1인 가정이 쓰기 딱 좋네요 디자인 슬림하게 잘 나왔네요</x:v>
      </x:c>
      <x:c r="J60" s="14" t="str">
        <x:v>https://www.lge.co.kr/mkt/review/MD10715832/pdpReviewListPopup</x:v>
      </x:c>
      <x:c r="K60" s="14" t="str">
        <x:v>#divReviewList &gt; li[data-review-id="767730"] .message</x:v>
      </x:c>
      <x:c r="L60" s="14"/>
      <x:c r="M60" s="14" t="str">
        <x:v>d2a4eef800e20ebd5eb966fc4dd87ebd7c2dd79f48b2200aee7ef365c232386c</x:v>
      </x:c>
      <x:c r="N60" s="17" t="b">
        <x:v>0</x:v>
      </x:c>
      <x:c r="O60" s="14" t="str">
        <x:v>LGE-R5-GROUP-767730</x:v>
      </x:c>
      <x:c r="P60" s="14" t="n">
        <x:v>46302.058151226855</x:v>
      </x:c>
      <x:c r="Q60" s="14" t="str">
        <x:v>review_list_model_differs</x:v>
      </x:c>
      <x:c r="R60" s="17" t="b">
        <x:v>0</x:v>
      </x:c>
      <x:c r="S60" s="14" t="str">
        <x:v>fixed18</x:v>
      </x:c>
    </x:row>
    <x:row r="61" ht="54" customHeight="1">
      <x:c r="A61" s="14" t="str">
        <x:v>763226</x:v>
      </x:c>
      <x:c r="B61" s="14" t="str">
        <x:v>fridge</x:v>
      </x:c>
      <x:c r="C61" s="14" t="str">
        <x:v>Q405MEE133</x:v>
      </x:c>
      <x:c r="D61" s="18"/>
      <x:c r="E61" s="14" t="str">
        <x:v>quarantine</x:v>
      </x:c>
      <x:c r="F61" s="15" t="n">
        <x:v>46194</x:v>
      </x:c>
      <x:c r="G61" s="18"/>
      <x:c r="H61" s="16" t="n">
        <x:v>5</x:v>
      </x:c>
      <x:c r="I61" s="14" t="str">
        <x:v>용량이 넉넉해서 식재료가 다 들어가고, 내부 수납 구조가 잘 짜여 있어서 정리하기 정말 편해요! 소음도 거의 없고 냉기도 일정하게 유지돼서 음식이 오랫동안 신선합니다. 주방 분위기까지 확 살려주는 디자인이라 볼 때마다 뿌듯하네요. 완전 만족합니다!</x:v>
      </x:c>
      <x:c r="J61" s="14" t="str">
        <x:v>https://www.lge.co.kr/mkt/review/MD10715832/pdpReviewListPopup</x:v>
      </x:c>
      <x:c r="K61" s="14" t="str">
        <x:v>#divReviewList &gt; li[data-review-id="763226"] .message</x:v>
      </x:c>
      <x:c r="L61" s="14"/>
      <x:c r="M61" s="14" t="str">
        <x:v>aa03a910c6ab5b1fca9a509e30b23fc57430e9ad34fe0377116e1337d55e00a9</x:v>
      </x:c>
      <x:c r="N61" s="17" t="b">
        <x:v>0</x:v>
      </x:c>
      <x:c r="O61" s="14" t="str">
        <x:v>LGE-R5-GROUP-763226</x:v>
      </x:c>
      <x:c r="P61" s="14" t="n">
        <x:v>46302.058151226855</x:v>
      </x:c>
      <x:c r="Q61" s="14" t="str">
        <x:v>review_list_model_differs</x:v>
      </x:c>
      <x:c r="R61" s="17" t="b">
        <x:v>0</x:v>
      </x:c>
      <x:c r="S61" s="14" t="str">
        <x:v>fixed18</x:v>
      </x:c>
    </x:row>
    <x:row r="62" ht="48" customHeight="1">
      <x:c r="A62" s="14" t="str">
        <x:v>793567</x:v>
      </x:c>
      <x:c r="B62" s="14" t="str">
        <x:v>fridge</x:v>
      </x:c>
      <x:c r="C62" s="14" t="str">
        <x:v>Q405MEE133</x:v>
      </x:c>
      <x:c r="D62" s="18"/>
      <x:c r="E62" s="14" t="str">
        <x:v>quarantine</x:v>
      </x:c>
      <x:c r="F62" s="15" t="n">
        <x:v>46222</x:v>
      </x:c>
      <x:c r="G62" s="18"/>
      <x:c r="H62" s="16" t="n">
        <x:v>5</x:v>
      </x:c>
      <x:c r="I62" s="14" t="str">
        <x:v>공간차지 많이 안하는데 용량은 만족스러워요 최고 후회없음</x:v>
      </x:c>
      <x:c r="J62" s="14" t="str">
        <x:v>https://www.lge.co.kr/mkt/review/MD10715832/pdpReviewListPopup</x:v>
      </x:c>
      <x:c r="K62" s="14" t="str">
        <x:v>#divReviewList &gt; li[data-review-id="793567"] .message</x:v>
      </x:c>
      <x:c r="L62" s="14"/>
      <x:c r="M62" s="14" t="str">
        <x:v>d1a3e1838840b70347e81345bd09558f5086b962e7350877503f4725a572155f</x:v>
      </x:c>
      <x:c r="N62" s="17" t="b">
        <x:v>0</x:v>
      </x:c>
      <x:c r="O62" s="14" t="str">
        <x:v>LGE-R5-GROUP-793567</x:v>
      </x:c>
      <x:c r="P62" s="14" t="n">
        <x:v>46302.058151226855</x:v>
      </x:c>
      <x:c r="Q62" s="14" t="str">
        <x:v>review_list_model_differs</x:v>
      </x:c>
      <x:c r="R62" s="17" t="b">
        <x:v>0</x:v>
      </x:c>
      <x:c r="S62" s="14" t="str">
        <x:v>fixed18</x:v>
      </x:c>
    </x:row>
    <x:row r="63" ht="48" customHeight="1">
      <x:c r="A63" s="14" t="str">
        <x:v>775733</x:v>
      </x:c>
      <x:c r="B63" s="14" t="str">
        <x:v>fridge</x:v>
      </x:c>
      <x:c r="C63" s="14" t="str">
        <x:v>Q405MEE133</x:v>
      </x:c>
      <x:c r="D63" s="18"/>
      <x:c r="E63" s="14" t="str">
        <x:v>quarantine</x:v>
      </x:c>
      <x:c r="F63" s="15" t="n">
        <x:v>46207</x:v>
      </x:c>
      <x:c r="G63" s="18"/>
      <x:c r="H63" s="16" t="n">
        <x:v>5</x:v>
      </x:c>
      <x:c r="I63" s="14" t="str">
        <x:v>가전은LG
너무이쁘고, 설치 프로님 두분이 매우 친절하고 잘생김</x:v>
      </x:c>
      <x:c r="J63" s="14" t="str">
        <x:v>https://www.lge.co.kr/mkt/review/MD10715832/pdpReviewListPopup</x:v>
      </x:c>
      <x:c r="K63" s="14" t="str">
        <x:v>#divReviewList &gt; li[data-review-id="775733"] .message</x:v>
      </x:c>
      <x:c r="L63" s="14"/>
      <x:c r="M63" s="14" t="str">
        <x:v>00d929f90a5713f205a7f4225c2692aef558bde61806465af4762ee540bc6d7b</x:v>
      </x:c>
      <x:c r="N63" s="17" t="b">
        <x:v>0</x:v>
      </x:c>
      <x:c r="O63" s="14" t="str">
        <x:v>LGE-R5-GROUP-775733</x:v>
      </x:c>
      <x:c r="P63" s="14" t="n">
        <x:v>46302.058151226855</x:v>
      </x:c>
      <x:c r="Q63" s="14" t="str">
        <x:v>review_list_model_differs</x:v>
      </x:c>
      <x:c r="R63" s="17" t="b">
        <x:v>0</x:v>
      </x:c>
      <x:c r="S63" s="14" t="str">
        <x:v>fixed18</x:v>
      </x:c>
    </x:row>
    <x:row r="64" ht="48" customHeight="1">
      <x:c r="A64" s="14" t="str">
        <x:v>760282</x:v>
      </x:c>
      <x:c r="B64" s="14" t="str">
        <x:v>microwave</x:v>
      </x:c>
      <x:c r="C64" s="14" t="str">
        <x:v>MW20GDN</x:v>
      </x:c>
      <x:c r="D64" s="18"/>
      <x:c r="E64" s="14" t="str">
        <x:v>development</x:v>
      </x:c>
      <x:c r="F64" s="15" t="n">
        <x:v>46191</x:v>
      </x:c>
      <x:c r="G64" s="18"/>
      <x:c r="H64" s="16" t="n">
        <x:v>5</x:v>
      </x:c>
      <x:c r="I64" s="14" t="str">
        <x:v>다른제품보다 디자인 면에서 좋습니다. 그런데 데워지는데 시간이 좀 더 오래 걸리는 느낌이 있습니다</x:v>
      </x:c>
      <x:c r="J64" s="14" t="str">
        <x:v>https://www.lge.co.kr/mkt/review/MD10101826/pdpReviewListPopup</x:v>
      </x:c>
      <x:c r="K64" s="14" t="str">
        <x:v>#divReviewList &gt; li[data-review-id="760282"] .message</x:v>
      </x:c>
      <x:c r="L64" s="14"/>
      <x:c r="M64" s="14" t="str">
        <x:v>c711f579ef124933da0a75f4760f792fe7bf29ef380941b774ebf03bf633582e</x:v>
      </x:c>
      <x:c r="N64" s="17" t="b">
        <x:v>0</x:v>
      </x:c>
      <x:c r="O64" s="14" t="str">
        <x:v>LGE-R5-GROUP-760282</x:v>
      </x:c>
      <x:c r="P64" s="14" t="n">
        <x:v>46302.058166793984</x:v>
      </x:c>
      <x:c r="Q64" s="14" t="str"/>
      <x:c r="R64" s="17" t="b">
        <x:v>0</x:v>
      </x:c>
      <x:c r="S64" s="14" t="str">
        <x:v>fixed18</x:v>
      </x:c>
    </x:row>
    <x:row r="65" ht="48" customHeight="1">
      <x:c r="A65" s="14" t="str">
        <x:v>731858</x:v>
      </x:c>
      <x:c r="B65" s="14" t="str">
        <x:v>microwave</x:v>
      </x:c>
      <x:c r="C65" s="14" t="str">
        <x:v>MW20GDN</x:v>
      </x:c>
      <x:c r="D65" s="18"/>
      <x:c r="E65" s="14" t="str">
        <x:v>independent_evaluation</x:v>
      </x:c>
      <x:c r="F65" s="15" t="n">
        <x:v>46164</x:v>
      </x:c>
      <x:c r="G65" s="18"/>
      <x:c r="H65" s="16" t="n">
        <x:v>5</x:v>
      </x:c>
      <x:c r="I65" s="14" t="str">
        <x:v>혼자 살거나 서브용으로 쓰기에 20리터 용량이 딱 적당하네요. 조작법이 직관적이고 쉬워서 누구나 쓰기 편합니다. 가성비 좋은 가격에 대기업 엘지 제품을 믿고 살 수 있어서 후회 없는 선택이었습니다</x:v>
      </x:c>
      <x:c r="J65" s="14" t="str">
        <x:v>https://www.lge.co.kr/mkt/review/MD10101826/pdpReviewListPopup</x:v>
      </x:c>
      <x:c r="K65" s="14" t="str">
        <x:v>#divReviewList &gt; li[data-review-id="731858"] .message</x:v>
      </x:c>
      <x:c r="L65" s="14"/>
      <x:c r="M65" s="14" t="str">
        <x:v>cebd501880960a9f5895c0e889c4deaf766c2211bd038ef6db1b70cd86e5c24d</x:v>
      </x:c>
      <x:c r="N65" s="17" t="b">
        <x:v>0</x:v>
      </x:c>
      <x:c r="O65" s="14" t="str">
        <x:v>LGE-R5-GROUP-731858</x:v>
      </x:c>
      <x:c r="P65" s="14" t="n">
        <x:v>46302.058166793984</x:v>
      </x:c>
      <x:c r="Q65" s="14" t="str"/>
      <x:c r="R65" s="17" t="b">
        <x:v>0</x:v>
      </x:c>
      <x:c r="S65" s="14" t="str">
        <x:v>fixed18</x:v>
      </x:c>
    </x:row>
    <x:row r="66" ht="48" customHeight="1">
      <x:c r="A66" s="14" t="str">
        <x:v>727274</x:v>
      </x:c>
      <x:c r="B66" s="14" t="str">
        <x:v>microwave</x:v>
      </x:c>
      <x:c r="C66" s="14" t="str">
        <x:v>MW20GDN</x:v>
      </x:c>
      <x:c r="D66" s="18"/>
      <x:c r="E66" s="14" t="str">
        <x:v>demonstration</x:v>
      </x:c>
      <x:c r="F66" s="15" t="n">
        <x:v>46160</x:v>
      </x:c>
      <x:c r="G66" s="18"/>
      <x:c r="H66" s="16" t="n">
        <x:v>5</x:v>
      </x:c>
      <x:c r="I66" s="14" t="str">
        <x:v>LG전자 전자레인지는 빠르고 균일한 가열과 간편한 조작이 장점이라 선택했으며, 사용해보니 음식이 고르게 데워지고 다양한 기능이 있어 매우 만족스럽게 사용하고 있습니다</x:v>
      </x:c>
      <x:c r="J66" s="14" t="str">
        <x:v>https://www.lge.co.kr/mkt/review/MD10101826/pdpReviewListPopup</x:v>
      </x:c>
      <x:c r="K66" s="14" t="str">
        <x:v>#divReviewList &gt; li[data-review-id="727274"] .message</x:v>
      </x:c>
      <x:c r="L66" s="14"/>
      <x:c r="M66" s="14" t="str">
        <x:v>b903833096c4ce068e1e572390d4e3ad643623937348718378b761a510a2c105</x:v>
      </x:c>
      <x:c r="N66" s="17" t="b">
        <x:v>0</x:v>
      </x:c>
      <x:c r="O66" s="14" t="str">
        <x:v>LGE-R5-GROUP-727274</x:v>
      </x:c>
      <x:c r="P66" s="14" t="n">
        <x:v>46302.058166793984</x:v>
      </x:c>
      <x:c r="Q66" s="14" t="str"/>
      <x:c r="R66" s="17" t="b">
        <x:v>0</x:v>
      </x:c>
      <x:c r="S66" s="14" t="str">
        <x:v>fixed18</x:v>
      </x:c>
    </x:row>
    <x:row r="67" ht="48" customHeight="1">
      <x:c r="A67" s="14" t="str">
        <x:v>667422</x:v>
      </x:c>
      <x:c r="B67" s="14" t="str">
        <x:v>microwave</x:v>
      </x:c>
      <x:c r="C67" s="14" t="str">
        <x:v>MW20GDN</x:v>
      </x:c>
      <x:c r="D67" s="18"/>
      <x:c r="E67" s="14" t="str">
        <x:v>development</x:v>
      </x:c>
      <x:c r="F67" s="15" t="n">
        <x:v>46096</x:v>
      </x:c>
      <x:c r="G67" s="18"/>
      <x:c r="H67" s="16" t="n">
        <x:v>5</x:v>
      </x:c>
      <x:c r="I67" s="14" t="str">
        <x:v>너무촛고잘흐고있어유역시엘지믿으입니다백새카전은역시엘지이군ㅇᆢㄷ</x:v>
      </x:c>
      <x:c r="J67" s="14" t="str">
        <x:v>https://www.lge.co.kr/mkt/review/MD10101826/pdpReviewListPopup</x:v>
      </x:c>
      <x:c r="K67" s="14" t="str">
        <x:v>#divReviewList &gt; li[data-review-id="667422"] .message</x:v>
      </x:c>
      <x:c r="L67" s="14"/>
      <x:c r="M67" s="14" t="str">
        <x:v>a07f5ce99345016a178514a3af8a0ccfa53a9aaa1c5e6ca0a8ada2fe96066d8b</x:v>
      </x:c>
      <x:c r="N67" s="17" t="b">
        <x:v>0</x:v>
      </x:c>
      <x:c r="O67" s="14" t="str">
        <x:v>LGE-R5-GROUP-667422</x:v>
      </x:c>
      <x:c r="P67" s="14" t="n">
        <x:v>46302.058166793984</x:v>
      </x:c>
      <x:c r="Q67" s="14" t="str"/>
      <x:c r="R67" s="17" t="b">
        <x:v>0</x:v>
      </x:c>
      <x:c r="S67" s="14" t="str">
        <x:v>fixed18</x:v>
      </x:c>
    </x:row>
    <x:row r="68" ht="48" customHeight="1">
      <x:c r="A68" s="14" t="str">
        <x:v>659358</x:v>
      </x:c>
      <x:c r="B68" s="14" t="str">
        <x:v>microwave</x:v>
      </x:c>
      <x:c r="C68" s="14" t="str">
        <x:v>MW20GDN</x:v>
      </x:c>
      <x:c r="D68" s="18"/>
      <x:c r="E68" s="14" t="str">
        <x:v>development</x:v>
      </x:c>
      <x:c r="F68" s="15" t="n">
        <x:v>46087</x:v>
      </x:c>
      <x:c r="G68" s="18"/>
      <x:c r="H68" s="16" t="n">
        <x:v>5</x:v>
      </x:c>
      <x:c r="I68" s="14" t="str">
        <x:v>디자인 깔끔하니 좋아요  데우기와 해동만 필요 했기 때문에 이상품 주문 했는데  잘 사용 하고 있어요  고장 안나길 바래요</x:v>
      </x:c>
      <x:c r="J68" s="14" t="str">
        <x:v>https://www.lge.co.kr/mkt/review/MD10101826/pdpReviewListPopup</x:v>
      </x:c>
      <x:c r="K68" s="14" t="str">
        <x:v>#divReviewList &gt; li[data-review-id="659358"] .message</x:v>
      </x:c>
      <x:c r="L68" s="14"/>
      <x:c r="M68" s="14" t="str">
        <x:v>ef69968f07f5cf5df512ed6bf3ad9f3155e21533724cab06f1be5ce6f0397ec6</x:v>
      </x:c>
      <x:c r="N68" s="17" t="b">
        <x:v>0</x:v>
      </x:c>
      <x:c r="O68" s="14" t="str">
        <x:v>LGE-R5-GROUP-659358</x:v>
      </x:c>
      <x:c r="P68" s="14" t="n">
        <x:v>46302.058166793984</x:v>
      </x:c>
      <x:c r="Q68" s="14" t="str"/>
      <x:c r="R68" s="17" t="b">
        <x:v>0</x:v>
      </x:c>
      <x:c r="S68" s="14" t="str">
        <x:v>fixed18</x:v>
      </x:c>
    </x:row>
    <x:row r="69" ht="48" customHeight="1">
      <x:c r="A69" s="14" t="str">
        <x:v>609332</x:v>
      </x:c>
      <x:c r="B69" s="14" t="str">
        <x:v>microwave</x:v>
      </x:c>
      <x:c r="C69" s="14" t="str">
        <x:v>MW20GDN</x:v>
      </x:c>
      <x:c r="D69" s="18"/>
      <x:c r="E69" s="14" t="str">
        <x:v>independent_evaluation</x:v>
      </x:c>
      <x:c r="F69" s="15" t="n">
        <x:v>46038</x:v>
      </x:c>
      <x:c r="G69" s="18"/>
      <x:c r="H69" s="16" t="n">
        <x:v>5</x:v>
      </x:c>
      <x:c r="I69" s="14" t="str">
        <x:v>배송도 빠르게 잘 되었고 전자렌지 디자인이 심플하고 크기가 적당해서 사무실용으로 사용하기 적합합니다. 
색상도 흰색이라 깔끔합니다^^</x:v>
      </x:c>
      <x:c r="J69" s="14" t="str">
        <x:v>https://www.lge.co.kr/mkt/review/MD10101826/pdpReviewListPopup</x:v>
      </x:c>
      <x:c r="K69" s="14" t="str">
        <x:v>#divReviewList &gt; li[data-review-id="609332"] .message</x:v>
      </x:c>
      <x:c r="L69" s="14"/>
      <x:c r="M69" s="14" t="str">
        <x:v>268ab4c90e800fcab6fc8a7febd7a166377e87f8c07d680b49d90f676dfdca32</x:v>
      </x:c>
      <x:c r="N69" s="17" t="b">
        <x:v>0</x:v>
      </x:c>
      <x:c r="O69" s="14" t="str">
        <x:v>LGE-R5-GROUP-609332</x:v>
      </x:c>
      <x:c r="P69" s="14" t="n">
        <x:v>46302.058166793984</x:v>
      </x:c>
      <x:c r="Q69" s="14" t="str"/>
      <x:c r="R69" s="17" t="b">
        <x:v>0</x:v>
      </x:c>
      <x:c r="S69" s="14" t="str">
        <x:v>fixed18</x:v>
      </x:c>
    </x:row>
    <x:row r="70" ht="369" customHeight="1">
      <x:c r="A70" s="14" t="str">
        <x:v>511932</x:v>
      </x:c>
      <x:c r="B70" s="14" t="str">
        <x:v>microwave</x:v>
      </x:c>
      <x:c r="C70" s="14" t="str">
        <x:v>MW20GDN</x:v>
      </x:c>
      <x:c r="D70" s="18"/>
      <x:c r="E70" s="14" t="str">
        <x:v>development</x:v>
      </x:c>
      <x:c r="F70" s="15" t="n">
        <x:v>45944</x:v>
      </x:c>
      <x:c r="G70" s="18"/>
      <x:c r="H70" s="16" t="n">
        <x:v>5</x:v>
      </x:c>
      <x:c r="I70" s="14" t="str">
        <x:v>역시 믿음직한 LG! 20L 전자레인지, 실속있고 깔끔해요!
LG전자 20L 전자레인지를 구매했어요. 
군더더기 없이 깔끔한 디자인과 꼭 필요한 기능들 덕분에 매우 만족하며 사용하고 있어 리뷰를 남깁니다.
1. 깔끔한 디자인과 적당한 크기 (20L)
• 주방 어디에 두어도 잘 어울리는 세련되고 깔끔한 디자인이 정말 마음에 듭니다. 특히 흰색바디에 검정도어 덕분에 주방 인테리어 효과도 있어요.
• 20L 용량은 1~2인 가구는 물론, 간단한 데우기 용도로는 넉넉해서 공간 효율적으로 사용하기에 딱 좋습니다.
2. 편리한 사용과 관리
• 5단계 출력 조절 기능이 있어 냉동식품 해동부터 간편식 데우기까지 섬세한 조리가 가능합니다. 특히 냉동 육류나 생선 해동 시 영양소 손실을 최소화해 준다고 하니 믿음이 갑니다.
• 내부에 이지클린 코팅이 적용되어 있어서, 음식이 튀어도 물티슈 등으로 쓱 닦아내면 깔끔하게 관리할 수 있는 점이 정말 편리합니다. 위생 걱정을 덜었어요.
• 복잡한 기능 없이 꼭 필요한 기능들만 있어서 조작이 쉽고, 부모님 댁에 놓아도 사용이 간편할 것 같습니다.
3. 안정적인 성능
• 음식을 데울 때 열이 고르게 전달되어 속까지 따뜻하게 잘 데워지는 것 같습니다.
• 작동 소음도 크게 거슬리지 않아 좋습니다.
결론적으로,
복잡한 기능보다는 실속 있고, 디자인까지 고려한 전자레인지를 찾으신다면 LG 20L 전자레인지를 강력 추천합니다! 믿고 쓰는 LG 제품이라 안심하고 오래 쓸 수 있을 것 같아요.</x:v>
      </x:c>
      <x:c r="J70" s="14" t="str">
        <x:v>https://www.lge.co.kr/mkt/review/MD10101826/pdpReviewListPopup</x:v>
      </x:c>
      <x:c r="K70" s="14" t="str">
        <x:v>#divReviewList &gt; li[data-review-id="511932"] .message</x:v>
      </x:c>
      <x:c r="L70" s="14"/>
      <x:c r="M70" s="14" t="str">
        <x:v>0401a53260c28c075d0c39a23408a30629eb3209391389403e5629c45ff208a1</x:v>
      </x:c>
      <x:c r="N70" s="17" t="b">
        <x:v>0</x:v>
      </x:c>
      <x:c r="O70" s="14" t="str">
        <x:v>LGE-R5-GROUP-511932</x:v>
      </x:c>
      <x:c r="P70" s="14" t="n">
        <x:v>46302.058166793984</x:v>
      </x:c>
      <x:c r="Q70" s="14" t="str"/>
      <x:c r="R70" s="17" t="b">
        <x:v>0</x:v>
      </x:c>
      <x:c r="S70" s="14" t="str">
        <x:v>fixed18</x:v>
      </x:c>
    </x:row>
    <x:row r="71" ht="48" customHeight="1">
      <x:c r="A71" s="14" t="str">
        <x:v>502883</x:v>
      </x:c>
      <x:c r="B71" s="14" t="str">
        <x:v>microwave</x:v>
      </x:c>
      <x:c r="C71" s="14" t="str">
        <x:v>MW20GDN</x:v>
      </x:c>
      <x:c r="D71" s="18"/>
      <x:c r="E71" s="14" t="str">
        <x:v>demonstration</x:v>
      </x:c>
      <x:c r="F71" s="15" t="n">
        <x:v>45935</x:v>
      </x:c>
      <x:c r="G71" s="18"/>
      <x:c r="H71" s="16" t="n">
        <x:v>5</x:v>
      </x:c>
      <x:c r="I71" s="14" t="str">
        <x:v>시골집에 사용하려고 샀어요. 평생 LG만 쓰고 있는데 늘 믿고 씁니다. 잔고장 없고 오래 쓰고 믿을수 있는 LG죠.  사이즈도 딱 맞고 배송도 제 날짜에 딱~~!!  잘 쓰겠습니다</x:v>
      </x:c>
      <x:c r="J71" s="14" t="str">
        <x:v>https://www.lge.co.kr/mkt/review/MD10101826/pdpReviewListPopup</x:v>
      </x:c>
      <x:c r="K71" s="14" t="str">
        <x:v>#divReviewList &gt; li[data-review-id="502883"] .message</x:v>
      </x:c>
      <x:c r="L71" s="14"/>
      <x:c r="M71" s="14" t="str">
        <x:v>e5601312b78980a9c6b3639dec99852951c94da94624e507ebe5bc7c687a1ece</x:v>
      </x:c>
      <x:c r="N71" s="17" t="b">
        <x:v>0</x:v>
      </x:c>
      <x:c r="O71" s="14" t="str">
        <x:v>LGE-R5-GROUP-502883</x:v>
      </x:c>
      <x:c r="P71" s="14" t="n">
        <x:v>46302.058166793984</x:v>
      </x:c>
      <x:c r="Q71" s="14" t="str"/>
      <x:c r="R71" s="17" t="b">
        <x:v>0</x:v>
      </x:c>
      <x:c r="S71" s="14" t="str">
        <x:v>fixed18</x:v>
      </x:c>
    </x:row>
    <x:row r="72" ht="84" customHeight="1">
      <x:c r="A72" s="14" t="str">
        <x:v>255370</x:v>
      </x:c>
      <x:c r="B72" s="14" t="str">
        <x:v>microwave</x:v>
      </x:c>
      <x:c r="C72" s="14" t="str">
        <x:v>MW20GDN</x:v>
      </x:c>
      <x:c r="D72" s="18"/>
      <x:c r="E72" s="14" t="str">
        <x:v>demonstration</x:v>
      </x:c>
      <x:c r="F72" s="15" t="n">
        <x:v>45723</x:v>
      </x:c>
      <x:c r="G72" s="18"/>
      <x:c r="H72" s="16" t="n">
        <x:v>5</x:v>
      </x:c>
      <x:c r="I72" s="14" t="str">
        <x:v>아주 깔끔하고 사용하기 편할것 같습니다. 
LGE.COM 앱에서 전에 냉장고,세탁기도 구매해서
멤버십포인트 쌓인걸로 마침 필요한 전자렌지
아주 저렴하게 구입했습니다. 배송 시간도
아주 정확합니다.</x:v>
      </x:c>
      <x:c r="J72" s="14" t="str">
        <x:v>https://www.lge.co.kr/mkt/review/MD10101826/pdpReviewListPopup</x:v>
      </x:c>
      <x:c r="K72" s="14" t="str">
        <x:v>#divReviewList &gt; li[data-review-id="255370"] .message</x:v>
      </x:c>
      <x:c r="L72" s="14"/>
      <x:c r="M72" s="14" t="str">
        <x:v>52d16357cc33ac29a85b490249f7c701e9c8195da3d9491f07e9dcd4f8d54b6e</x:v>
      </x:c>
      <x:c r="N72" s="17" t="b">
        <x:v>0</x:v>
      </x:c>
      <x:c r="O72" s="14" t="str">
        <x:v>LGE-R5-GROUP-255370</x:v>
      </x:c>
      <x:c r="P72" s="14" t="n">
        <x:v>46302.058166793984</x:v>
      </x:c>
      <x:c r="Q72" s="14" t="str"/>
      <x:c r="R72" s="17" t="b">
        <x:v>0</x:v>
      </x:c>
      <x:c r="S72" s="14" t="str">
        <x:v>fixed18</x:v>
      </x:c>
    </x:row>
    <x:row r="73" ht="48" customHeight="1">
      <x:c r="A73" s="14" t="str">
        <x:v>104380</x:v>
      </x:c>
      <x:c r="B73" s="14" t="str">
        <x:v>microwave</x:v>
      </x:c>
      <x:c r="C73" s="14" t="str">
        <x:v>MW20GDN</x:v>
      </x:c>
      <x:c r="D73" s="18"/>
      <x:c r="E73" s="14" t="str">
        <x:v>development</x:v>
      </x:c>
      <x:c r="F73" s="15" t="n">
        <x:v>45499</x:v>
      </x:c>
      <x:c r="G73" s="18"/>
      <x:c r="H73" s="16" t="n">
        <x:v>5</x:v>
      </x:c>
      <x:c r="I73" s="14" t="str">
        <x:v>사이즈도 딱맞고 친절히 잘가져다주셔서 감사합니다
#리뷰이벤트참여</x:v>
      </x:c>
      <x:c r="J73" s="14" t="str">
        <x:v>https://www.lge.co.kr/mkt/review/MD10101826/pdpReviewListPopup</x:v>
      </x:c>
      <x:c r="K73" s="14" t="str">
        <x:v>#divReviewList &gt; li[data-review-id="104380"] .message</x:v>
      </x:c>
      <x:c r="L73" s="14"/>
      <x:c r="M73" s="14" t="str">
        <x:v>58801fc54c4e9ee7b4862e90a1161157e1d313fb6d4fbfea96ef4b22ed2636a0</x:v>
      </x:c>
      <x:c r="N73" s="17" t="b">
        <x:v>0</x:v>
      </x:c>
      <x:c r="O73" s="14" t="str">
        <x:v>LGE-R5-GROUP-104380</x:v>
      </x:c>
      <x:c r="P73" s="14" t="n">
        <x:v>46302.058166793984</x:v>
      </x:c>
      <x:c r="Q73" s="14" t="str"/>
      <x:c r="R73" s="17" t="b">
        <x:v>0</x:v>
      </x:c>
      <x:c r="S73" s="14" t="str">
        <x:v>fixed18</x:v>
      </x:c>
    </x:row>
    <x:row r="74" ht="48" customHeight="1">
      <x:c r="A74" s="14" t="str">
        <x:v>860977</x:v>
      </x:c>
      <x:c r="B74" s="14" t="str">
        <x:v>microwave</x:v>
      </x:c>
      <x:c r="C74" s="14" t="str">
        <x:v>MW23FDI</x:v>
      </x:c>
      <x:c r="D74" s="18"/>
      <x:c r="E74" s="14" t="str">
        <x:v>development</x:v>
      </x:c>
      <x:c r="F74" s="15" t="n">
        <x:v>46301</x:v>
      </x:c>
      <x:c r="G74" s="18"/>
      <x:c r="H74" s="16" t="n">
        <x:v>5</x:v>
      </x:c>
      <x:c r="I74" s="14" t="str">
        <x:v>너무크지도 작지도않고 23리터 딱좋은것같습니다~
디자인도 흰검 무난합니다~</x:v>
      </x:c>
      <x:c r="J74" s="14" t="str">
        <x:v>https://www.lge.co.kr/mkt/review/MD10738847/pdpReviewListPopup</x:v>
      </x:c>
      <x:c r="K74" s="14" t="str">
        <x:v>#divReviewList &gt; li[data-review-id="860977"] .message</x:v>
      </x:c>
      <x:c r="L74" s="14" t="str">
        <x:v>MFL68822538 Rev.00_120925</x:v>
      </x:c>
      <x:c r="M74" s="14" t="str">
        <x:v>3e6f6af5b3e6844b4053145088137f80de5b3a6b405a6f70219208f7a6172335</x:v>
      </x:c>
      <x:c r="N74" s="17" t="b">
        <x:v>0</x:v>
      </x:c>
      <x:c r="O74" s="14" t="str">
        <x:v>LGE-R5-GROUP-860977</x:v>
      </x:c>
      <x:c r="P74" s="14" t="n">
        <x:v>46302.048578981485</x:v>
      </x:c>
      <x:c r="Q74" s="14" t="str"/>
      <x:c r="R74" s="17" t="b">
        <x:v>0</x:v>
      </x:c>
      <x:c r="S74" s="14" t="str">
        <x:v>fixed18</x:v>
      </x:c>
    </x:row>
    <x:row r="75" ht="69" customHeight="1">
      <x:c r="A75" s="14" t="str">
        <x:v>842682</x:v>
      </x:c>
      <x:c r="B75" s="14" t="str">
        <x:v>microwave</x:v>
      </x:c>
      <x:c r="C75" s="14" t="str">
        <x:v>MW23FDI</x:v>
      </x:c>
      <x:c r="D75" s="18"/>
      <x:c r="E75" s="14" t="str">
        <x:v>demonstration</x:v>
      </x:c>
      <x:c r="F75" s="15" t="n">
        <x:v>46276</x:v>
      </x:c>
      <x:c r="G75" s="18"/>
      <x:c r="H75" s="16" t="n">
        <x:v>5</x:v>
      </x:c>
      <x:c r="I75" s="14" t="str">
        <x:v>4년전부터 집안의 가전제품을 삼성에서 LG제품으로 
교체중 마지막으로 전자렌지를 구매핬서요
쓰기는 편한거같은데 약간은 불편합니다
좀더 시간이 필요한건지는 모르지만요</x:v>
      </x:c>
      <x:c r="J75" s="14" t="str">
        <x:v>https://www.lge.co.kr/mkt/review/MD10738847/pdpReviewListPopup</x:v>
      </x:c>
      <x:c r="K75" s="14" t="str">
        <x:v>#divReviewList &gt; li[data-review-id="842682"] .message</x:v>
      </x:c>
      <x:c r="L75" s="14" t="str">
        <x:v>MFL68822538 Rev.00_120925</x:v>
      </x:c>
      <x:c r="M75" s="14" t="str">
        <x:v>61ae005b18a2fdc205f03fcd2c014708bb3e765e96dc506da0721ff92572b8c8</x:v>
      </x:c>
      <x:c r="N75" s="17" t="b">
        <x:v>0</x:v>
      </x:c>
      <x:c r="O75" s="14" t="str">
        <x:v>LGE-R5-GROUP-842682</x:v>
      </x:c>
      <x:c r="P75" s="14" t="n">
        <x:v>46302.048578981485</x:v>
      </x:c>
      <x:c r="Q75" s="14" t="str"/>
      <x:c r="R75" s="17" t="b">
        <x:v>0</x:v>
      </x:c>
      <x:c r="S75" s="14" t="str">
        <x:v>fixed18</x:v>
      </x:c>
    </x:row>
    <x:row r="76" ht="48" customHeight="1">
      <x:c r="A76" s="14" t="str">
        <x:v>833534</x:v>
      </x:c>
      <x:c r="B76" s="14" t="str">
        <x:v>microwave</x:v>
      </x:c>
      <x:c r="C76" s="14" t="str">
        <x:v>MW23FDI</x:v>
      </x:c>
      <x:c r="D76" s="18"/>
      <x:c r="E76" s="14" t="str">
        <x:v>development</x:v>
      </x:c>
      <x:c r="F76" s="15" t="n">
        <x:v>46265</x:v>
      </x:c>
      <x:c r="G76" s="18"/>
      <x:c r="H76" s="16" t="n">
        <x:v>5</x:v>
      </x:c>
      <x:c r="I76" s="14" t="str">
        <x:v>디자인이 깔끔하고 매우 이뿌네요  컴팩트해서도 좋고 여러가지 기능이 본체에 기재되있어서 사용하기가 편리해요</x:v>
      </x:c>
      <x:c r="J76" s="14" t="str">
        <x:v>https://www.lge.co.kr/mkt/review/MD10738847/pdpReviewListPopup</x:v>
      </x:c>
      <x:c r="K76" s="14" t="str">
        <x:v>#divReviewList &gt; li[data-review-id="833534"] .message</x:v>
      </x:c>
      <x:c r="L76" s="14" t="str">
        <x:v>MFL68822538 Rev.00_120925</x:v>
      </x:c>
      <x:c r="M76" s="14" t="str">
        <x:v>3a6f800443b582aedf45c099f63359e67524c4f17fb85dd5583112e6246a1d71</x:v>
      </x:c>
      <x:c r="N76" s="17" t="b">
        <x:v>0</x:v>
      </x:c>
      <x:c r="O76" s="14" t="str">
        <x:v>LGE-R5-GROUP-833534</x:v>
      </x:c>
      <x:c r="P76" s="14" t="n">
        <x:v>46302.048578981485</x:v>
      </x:c>
      <x:c r="Q76" s="14" t="str"/>
      <x:c r="R76" s="17" t="b">
        <x:v>0</x:v>
      </x:c>
      <x:c r="S76" s="14" t="str">
        <x:v>fixed18</x:v>
      </x:c>
    </x:row>
    <x:row r="77" ht="69" customHeight="1">
      <x:c r="A77" s="14" t="str">
        <x:v>825992</x:v>
      </x:c>
      <x:c r="B77" s="14" t="str">
        <x:v>microwave</x:v>
      </x:c>
      <x:c r="C77" s="14" t="str">
        <x:v>MW23FDI</x:v>
      </x:c>
      <x:c r="D77" s="18"/>
      <x:c r="E77" s="14" t="str">
        <x:v>development</x:v>
      </x:c>
      <x:c r="F77" s="15" t="n">
        <x:v>46256</x:v>
      </x:c>
      <x:c r="G77" s="18"/>
      <x:c r="H77" s="16" t="n">
        <x:v>5</x:v>
      </x:c>
      <x:c r="I77" s="14" t="str">
        <x:v>기존 제품이 고장나서 새제품 검색해서 
구매하게 되었습니다. 
디자인 이쁘고 성능은 말할것 없이 
보장 돼 있네요.</x:v>
      </x:c>
      <x:c r="J77" s="14" t="str">
        <x:v>https://www.lge.co.kr/mkt/review/MD10738847/pdpReviewListPopup</x:v>
      </x:c>
      <x:c r="K77" s="14" t="str">
        <x:v>#divReviewList &gt; li[data-review-id="825992"] .message</x:v>
      </x:c>
      <x:c r="L77" s="14" t="str">
        <x:v>MFL68822538 Rev.00_120925</x:v>
      </x:c>
      <x:c r="M77" s="14" t="str">
        <x:v>cc8b567d15c0019552384ea9d09315a9a7b7a4c7000866303d3441782b0528d2</x:v>
      </x:c>
      <x:c r="N77" s="17" t="b">
        <x:v>0</x:v>
      </x:c>
      <x:c r="O77" s="14" t="str">
        <x:v>LGE-R5-GROUP-825992</x:v>
      </x:c>
      <x:c r="P77" s="14" t="n">
        <x:v>46302.048578981485</x:v>
      </x:c>
      <x:c r="Q77" s="14" t="str"/>
      <x:c r="R77" s="17" t="b">
        <x:v>0</x:v>
      </x:c>
      <x:c r="S77" s="14" t="str">
        <x:v>fixed18</x:v>
      </x:c>
    </x:row>
    <x:row r="78" ht="48" customHeight="1">
      <x:c r="A78" s="14" t="str">
        <x:v>799295</x:v>
      </x:c>
      <x:c r="B78" s="14" t="str">
        <x:v>microwave</x:v>
      </x:c>
      <x:c r="C78" s="14" t="str">
        <x:v>MW23FDI</x:v>
      </x:c>
      <x:c r="D78" s="18"/>
      <x:c r="E78" s="14" t="str">
        <x:v>demonstration</x:v>
      </x:c>
      <x:c r="F78" s="15" t="n">
        <x:v>46228</x:v>
      </x:c>
      <x:c r="G78" s="18"/>
      <x:c r="H78" s="16" t="n">
        <x:v>5</x:v>
      </x:c>
      <x:c r="I78" s="14" t="str">
        <x:v>가격대비 디자인도 고급스럽고 성능도 마음에 듭니다. 잘 사용할게요 :)</x:v>
      </x:c>
      <x:c r="J78" s="14" t="str">
        <x:v>https://www.lge.co.kr/mkt/review/MD10738847/pdpReviewListPopup</x:v>
      </x:c>
      <x:c r="K78" s="14" t="str">
        <x:v>#divReviewList &gt; li[data-review-id="799295"] .message</x:v>
      </x:c>
      <x:c r="L78" s="14" t="str">
        <x:v>MFL68822538 Rev.00_120925</x:v>
      </x:c>
      <x:c r="M78" s="14" t="str">
        <x:v>f1bf96901b03b12f702f42179f07ea9fd7c35f7026377db468805a52cfee560c</x:v>
      </x:c>
      <x:c r="N78" s="17" t="b">
        <x:v>0</x:v>
      </x:c>
      <x:c r="O78" s="14" t="str">
        <x:v>LGE-R5-GROUP-799295</x:v>
      </x:c>
      <x:c r="P78" s="14" t="n">
        <x:v>46302.048578981485</x:v>
      </x:c>
      <x:c r="Q78" s="14" t="str"/>
      <x:c r="R78" s="17" t="b">
        <x:v>0</x:v>
      </x:c>
      <x:c r="S78" s="14" t="str">
        <x:v>fixed18</x:v>
      </x:c>
    </x:row>
    <x:row r="79" ht="48" customHeight="1">
      <x:c r="A79" s="14" t="str">
        <x:v>780844</x:v>
      </x:c>
      <x:c r="B79" s="14" t="str">
        <x:v>microwave</x:v>
      </x:c>
      <x:c r="C79" s="14" t="str">
        <x:v>MW23FDI</x:v>
      </x:c>
      <x:c r="D79" s="18"/>
      <x:c r="E79" s="14" t="str">
        <x:v>demonstration</x:v>
      </x:c>
      <x:c r="F79" s="15" t="n">
        <x:v>46211</x:v>
      </x:c>
      <x:c r="G79" s="18"/>
      <x:c r="H79" s="16" t="n">
        <x:v>5</x:v>
      </x:c>
      <x:c r="I79" s="14" t="str">
        <x:v>일단 디자인이 맘에들고 1000w라서 전력량도 좋네요.LG제품이라서 믿고 구매했네요.</x:v>
      </x:c>
      <x:c r="J79" s="14" t="str">
        <x:v>https://www.lge.co.kr/mkt/review/MD10738847/pdpReviewListPopup</x:v>
      </x:c>
      <x:c r="K79" s="14" t="str">
        <x:v>#divReviewList &gt; li[data-review-id="780844"] .message</x:v>
      </x:c>
      <x:c r="L79" s="14" t="str">
        <x:v>MFL68822538 Rev.00_120925</x:v>
      </x:c>
      <x:c r="M79" s="14" t="str">
        <x:v>9203b728d8f2418bb38a2749a8980569a60c988b6c797c2c220a2e9fa35c2618</x:v>
      </x:c>
      <x:c r="N79" s="17" t="b">
        <x:v>0</x:v>
      </x:c>
      <x:c r="O79" s="14" t="str">
        <x:v>LGE-R5-GROUP-780844</x:v>
      </x:c>
      <x:c r="P79" s="14" t="n">
        <x:v>46302.048578981485</x:v>
      </x:c>
      <x:c r="Q79" s="14" t="str"/>
      <x:c r="R79" s="17" t="b">
        <x:v>0</x:v>
      </x:c>
      <x:c r="S79" s="14" t="str">
        <x:v>fixed18</x:v>
      </x:c>
    </x:row>
    <x:row r="80" ht="48" customHeight="1">
      <x:c r="A80" s="14" t="str">
        <x:v>754504</x:v>
      </x:c>
      <x:c r="B80" s="14" t="str">
        <x:v>microwave</x:v>
      </x:c>
      <x:c r="C80" s="14" t="str">
        <x:v>MW23FDI</x:v>
      </x:c>
      <x:c r="D80" s="18"/>
      <x:c r="E80" s="14" t="str">
        <x:v>development</x:v>
      </x:c>
      <x:c r="F80" s="15" t="n">
        <x:v>46185</x:v>
      </x:c>
      <x:c r="G80" s="18"/>
      <x:c r="H80" s="16" t="n">
        <x:v>5</x:v>
      </x:c>
      <x:c r="I80" s="14" t="str">
        <x:v>LG 디오스 오브제컬렉션 전자레인지 좋습니다 전에 에어컨 구매할때 받은 포이트로 할인 받았습니다</x:v>
      </x:c>
      <x:c r="J80" s="14" t="str">
        <x:v>https://www.lge.co.kr/mkt/review/MD10738847/pdpReviewListPopup</x:v>
      </x:c>
      <x:c r="K80" s="14" t="str">
        <x:v>#divReviewList &gt; li[data-review-id="754504"] .message</x:v>
      </x:c>
      <x:c r="L80" s="14" t="str">
        <x:v>MFL68822538 Rev.00_120925</x:v>
      </x:c>
      <x:c r="M80" s="14" t="str">
        <x:v>b9f718bc3cb7ba6fb4897e305bbad70fd59ea7a71e47f785908b755335db758c</x:v>
      </x:c>
      <x:c r="N80" s="17" t="b">
        <x:v>0</x:v>
      </x:c>
      <x:c r="O80" s="14" t="str">
        <x:v>LGE-R5-GROUP-754504</x:v>
      </x:c>
      <x:c r="P80" s="14" t="n">
        <x:v>46302.048578981485</x:v>
      </x:c>
      <x:c r="Q80" s="14" t="str"/>
      <x:c r="R80" s="17" t="b">
        <x:v>0</x:v>
      </x:c>
      <x:c r="S80" s="14" t="str">
        <x:v>fixed18</x:v>
      </x:c>
    </x:row>
    <x:row r="81" ht="84" customHeight="1">
      <x:c r="A81" s="14" t="str">
        <x:v>742689</x:v>
      </x:c>
      <x:c r="B81" s="14" t="str">
        <x:v>microwave</x:v>
      </x:c>
      <x:c r="C81" s="14" t="str">
        <x:v>MW23FDI</x:v>
      </x:c>
      <x:c r="D81" s="18"/>
      <x:c r="E81" s="14" t="str">
        <x:v>development</x:v>
      </x:c>
      <x:c r="F81" s="15" t="n">
        <x:v>46174</x:v>
      </x:c>
      <x:c r="G81" s="18"/>
      <x:c r="H81" s="16" t="n">
        <x:v>5</x:v>
      </x:c>
      <x:c r="I81" s="14" t="str">
        <x:v>심플한 디자인과 깔끔한 화이트 컬러가 주방 어디에 두어도 잘 어울립니다. 사용법이 직관적이라 처음 사용하는 사람도 쉽게 조작할 수 있었고, 음식 데우기와 해동 성능도 만족스럽습니다. 내부 공간이 넉넉해 큰 용기도 무리 없이 사용할 수 있으며, 작동 소음도 크지 않아 편리합니다. 디자인과 실용성을 모두 갖춘 전자레인지를 찾는 분들께 추천하고 싶은 제품입니다.
#프리미엄 키친 #프리미엄쿠킹에디션 #주방인테리어 #인테리어가전</x:v>
      </x:c>
      <x:c r="J81" s="14" t="str">
        <x:v>https://www.lge.co.kr/mkt/review/MD10738847/pdpReviewListPopup</x:v>
      </x:c>
      <x:c r="K81" s="14" t="str">
        <x:v>#divReviewList &gt; li[data-review-id="742689"] .message</x:v>
      </x:c>
      <x:c r="L81" s="14" t="str">
        <x:v>MFL68822538 Rev.00_120925</x:v>
      </x:c>
      <x:c r="M81" s="14" t="str">
        <x:v>7337e03ea259761107698e7beae9b034df8034a705a9543c202953dd22cfa1b7</x:v>
      </x:c>
      <x:c r="N81" s="17" t="b">
        <x:v>0</x:v>
      </x:c>
      <x:c r="O81" s="14" t="str">
        <x:v>LGE-R5-GROUP-742689</x:v>
      </x:c>
      <x:c r="P81" s="14" t="n">
        <x:v>46302.048578981485</x:v>
      </x:c>
      <x:c r="Q81" s="14" t="str"/>
      <x:c r="R81" s="17" t="b">
        <x:v>0</x:v>
      </x:c>
      <x:c r="S81" s="14" t="str">
        <x:v>fixed18</x:v>
      </x:c>
    </x:row>
    <x:row r="82" ht="54" customHeight="1">
      <x:c r="A82" s="14" t="str">
        <x:v>741519</x:v>
      </x:c>
      <x:c r="B82" s="14" t="str">
        <x:v>microwave</x:v>
      </x:c>
      <x:c r="C82" s="14" t="str">
        <x:v>MW23FDI</x:v>
      </x:c>
      <x:c r="D82" s="18"/>
      <x:c r="E82" s="14" t="str">
        <x:v>demonstration</x:v>
      </x:c>
      <x:c r="F82" s="15" t="n">
        <x:v>46173</x:v>
      </x:c>
      <x:c r="G82" s="18"/>
      <x:c r="H82" s="16" t="n">
        <x:v>5</x:v>
      </x:c>
      <x:c r="I82" s="14" t="str">
        <x:v>전자레인지가 필요하여 구매하게 되었는데, 무엇보다 디자인이 이쁩니다. 기존에 사용하던 전자레인지에 비해 같은 시간에 조리가 더 빠르게 되는 것으로 보아 성능도 좋은 것 같습니다. 버튼 터치감도 좋고 디스플레이가 깔끔해서 좋습니다.
#요리도LG, #관리도LG, #가정의달선물, #인테리어가전, #주방인테리어</x:v>
      </x:c>
      <x:c r="J82" s="14" t="str">
        <x:v>https://www.lge.co.kr/mkt/review/MD10738847/pdpReviewListPopup</x:v>
      </x:c>
      <x:c r="K82" s="14" t="str">
        <x:v>#divReviewList &gt; li[data-review-id="741519"] .message</x:v>
      </x:c>
      <x:c r="L82" s="14" t="str">
        <x:v>MFL68822538 Rev.00_120925</x:v>
      </x:c>
      <x:c r="M82" s="14" t="str">
        <x:v>69a4b186b773eaa744768c0578178a4bfe3962b1bfe0f96db87b68327323b05b</x:v>
      </x:c>
      <x:c r="N82" s="17" t="b">
        <x:v>0</x:v>
      </x:c>
      <x:c r="O82" s="14" t="str">
        <x:v>LGE-R5-GROUP-741519</x:v>
      </x:c>
      <x:c r="P82" s="14" t="n">
        <x:v>46302.048578981485</x:v>
      </x:c>
      <x:c r="Q82" s="14" t="str"/>
      <x:c r="R82" s="17" t="b">
        <x:v>0</x:v>
      </x:c>
      <x:c r="S82" s="14" t="str">
        <x:v>fixed18</x:v>
      </x:c>
    </x:row>
    <x:row r="83" ht="84" customHeight="1">
      <x:c r="A83" s="14" t="str">
        <x:v>728848</x:v>
      </x:c>
      <x:c r="B83" s="14" t="str">
        <x:v>microwave</x:v>
      </x:c>
      <x:c r="C83" s="14" t="str">
        <x:v>MW23FDI</x:v>
      </x:c>
      <x:c r="D83" s="18"/>
      <x:c r="E83" s="14" t="str">
        <x:v>independent_evaluation</x:v>
      </x:c>
      <x:c r="F83" s="15" t="n">
        <x:v>46161</x:v>
      </x:c>
      <x:c r="G83" s="18"/>
      <x:c r="H83" s="16" t="n">
        <x:v>5</x:v>
      </x:c>
      <x:c r="I83" s="14" t="str">
        <x:v>광파오븐겸용 15년 넘게쓰다 고장나서
새로구입했어요
에프는있어서 전자레인지 전용 샀더니 작으니 귀엽네요
기본 거의 밥만 데워먹으면 되는거라 관리도 쉬울것같고
디자인도 예쁘네요</x:v>
      </x:c>
      <x:c r="J83" s="14" t="str">
        <x:v>https://www.lge.co.kr/mkt/review/MD10738847/pdpReviewListPopup</x:v>
      </x:c>
      <x:c r="K83" s="14" t="str">
        <x:v>#divReviewList &gt; li[data-review-id="728848"] .message</x:v>
      </x:c>
      <x:c r="L83" s="14" t="str">
        <x:v>MFL68822538 Rev.00_120925</x:v>
      </x:c>
      <x:c r="M83" s="14" t="str">
        <x:v>e16ce54a3f4027ef7e58e90d8b7a600a6477c8c7d397394973d01ba80ddff223</x:v>
      </x:c>
      <x:c r="N83" s="17" t="b">
        <x:v>0</x:v>
      </x:c>
      <x:c r="O83" s="14" t="str">
        <x:v>LGE-R5-GROUP-728848</x:v>
      </x:c>
      <x:c r="P83" s="14" t="n">
        <x:v>46302.048578981485</x:v>
      </x:c>
      <x:c r="Q83" s="14" t="str"/>
      <x:c r="R83" s="17" t="b">
        <x:v>0</x:v>
      </x:c>
      <x:c r="S83" s="14" t="str">
        <x:v>fixed18</x:v>
      </x:c>
    </x:row>
    <x:row r="84" ht="48" customHeight="1">
      <x:c r="A84" s="14" t="str">
        <x:v>861338</x:v>
      </x:c>
      <x:c r="B84" s="14" t="str">
        <x:v>microwave</x:v>
      </x:c>
      <x:c r="C84" s="14" t="str">
        <x:v>MW30EDN</x:v>
      </x:c>
      <x:c r="D84" s="18"/>
      <x:c r="E84" s="14" t="str">
        <x:v>development</x:v>
      </x:c>
      <x:c r="F84" s="15" t="n">
        <x:v>46301</x:v>
      </x:c>
      <x:c r="G84" s="18"/>
      <x:c r="H84" s="16" t="n">
        <x:v>5</x:v>
      </x:c>
      <x:c r="I84" s="14" t="str">
        <x:v>용량이 30리터라 엄청든든하고 작동잘되고이뻐서 맘에들어요</x:v>
      </x:c>
      <x:c r="J84" s="14" t="str">
        <x:v>https://www.lge.co.kr/mkt/review/MD10817828/pdpReviewListPopup</x:v>
      </x:c>
      <x:c r="K84" s="14" t="str">
        <x:v>#divReviewList &gt; li[data-review-id="861338"] .message</x:v>
      </x:c>
      <x:c r="L84" s="14"/>
      <x:c r="M84" s="14" t="str">
        <x:v>de55955ebba0242f491656db41ed28f2bf582a4217738422f3cc92d8487f5c4d</x:v>
      </x:c>
      <x:c r="N84" s="17" t="b">
        <x:v>0</x:v>
      </x:c>
      <x:c r="O84" s="14" t="str">
        <x:v>LGE-R5-GROUP-861338</x:v>
      </x:c>
      <x:c r="P84" s="14" t="n">
        <x:v>46302.05818476852</x:v>
      </x:c>
      <x:c r="Q84" s="14" t="str"/>
      <x:c r="R84" s="17" t="b">
        <x:v>0</x:v>
      </x:c>
      <x:c r="S84" s="14" t="str">
        <x:v>fixed18</x:v>
      </x:c>
    </x:row>
    <x:row r="85" ht="69" customHeight="1">
      <x:c r="A85" s="14" t="str">
        <x:v>861210</x:v>
      </x:c>
      <x:c r="B85" s="14" t="str">
        <x:v>microwave</x:v>
      </x:c>
      <x:c r="C85" s="14" t="str">
        <x:v>MW30EDN</x:v>
      </x:c>
      <x:c r="D85" s="18"/>
      <x:c r="E85" s="14" t="str">
        <x:v>demonstration</x:v>
      </x:c>
      <x:c r="F85" s="15" t="n">
        <x:v>46301</x:v>
      </x:c>
      <x:c r="G85" s="18"/>
      <x:c r="H85" s="16" t="n">
        <x:v>5</x:v>
      </x:c>
      <x:c r="I85" s="14" t="str">
        <x:v>바닥이 평편해서 좋아요
오프라인가면 이 크기가 없어요
20리터가 있어서 피자돌리기 제일 좋아요
그외에 다른 큰 부피 음식 다 들어가서 좋고 넉넉한게 맘에 듭니다</x:v>
      </x:c>
      <x:c r="J85" s="14" t="str">
        <x:v>https://www.lge.co.kr/mkt/review/MD10817828/pdpReviewListPopup</x:v>
      </x:c>
      <x:c r="K85" s="14" t="str">
        <x:v>#divReviewList &gt; li[data-review-id="861210"] .message</x:v>
      </x:c>
      <x:c r="L85" s="14"/>
      <x:c r="M85" s="14" t="str">
        <x:v>7327e59162a9947ba4ecc683dfc67aa62bf67225afe1cfba8d3aba03cde2c7e8</x:v>
      </x:c>
      <x:c r="N85" s="17" t="b">
        <x:v>0</x:v>
      </x:c>
      <x:c r="O85" s="14" t="str">
        <x:v>LGE-R5-GROUP-861210</x:v>
      </x:c>
      <x:c r="P85" s="14" t="n">
        <x:v>46302.05818476852</x:v>
      </x:c>
      <x:c r="Q85" s="14" t="str"/>
      <x:c r="R85" s="17" t="b">
        <x:v>0</x:v>
      </x:c>
      <x:c r="S85" s="14" t="str">
        <x:v>fixed18</x:v>
      </x:c>
    </x:row>
    <x:row r="86" ht="48" customHeight="1">
      <x:c r="A86" s="14" t="str">
        <x:v>841543</x:v>
      </x:c>
      <x:c r="B86" s="14" t="str">
        <x:v>microwave</x:v>
      </x:c>
      <x:c r="C86" s="14" t="str">
        <x:v>MW30EDN</x:v>
      </x:c>
      <x:c r="D86" s="18"/>
      <x:c r="E86" s="14" t="str">
        <x:v>development</x:v>
      </x:c>
      <x:c r="F86" s="15" t="n">
        <x:v>46275</x:v>
      </x:c>
      <x:c r="G86" s="18"/>
      <x:c r="H86" s="16" t="n">
        <x:v>5</x:v>
      </x:c>
      <x:c r="I86" s="14" t="str">
        <x:v>용량이 커서 선택했어요. 접시 부분이 아래로 움푹해서 더 좋군요. 알림음이 좀 애매하네요.</x:v>
      </x:c>
      <x:c r="J86" s="14" t="str">
        <x:v>https://www.lge.co.kr/mkt/review/MD10817828/pdpReviewListPopup</x:v>
      </x:c>
      <x:c r="K86" s="14" t="str">
        <x:v>#divReviewList &gt; li[data-review-id="841543"] .message</x:v>
      </x:c>
      <x:c r="L86" s="14"/>
      <x:c r="M86" s="14" t="str">
        <x:v>5f3a8f26b2ca619347a753f3f743191fe26f58115fd2a0c93e44fe2f26c381b5</x:v>
      </x:c>
      <x:c r="N86" s="17" t="b">
        <x:v>0</x:v>
      </x:c>
      <x:c r="O86" s="14" t="str">
        <x:v>LGE-R5-GROUP-841543</x:v>
      </x:c>
      <x:c r="P86" s="14" t="n">
        <x:v>46302.05818476852</x:v>
      </x:c>
      <x:c r="Q86" s="14" t="str"/>
      <x:c r="R86" s="17" t="b">
        <x:v>0</x:v>
      </x:c>
      <x:c r="S86" s="14" t="str">
        <x:v>fixed18</x:v>
      </x:c>
    </x:row>
    <x:row r="87" ht="48" customHeight="1">
      <x:c r="A87" s="14" t="str">
        <x:v>840296</x:v>
      </x:c>
      <x:c r="B87" s="14" t="str">
        <x:v>microwave</x:v>
      </x:c>
      <x:c r="C87" s="14" t="str">
        <x:v>MW30EDN</x:v>
      </x:c>
      <x:c r="D87" s="18"/>
      <x:c r="E87" s="14" t="str">
        <x:v>independent_evaluation</x:v>
      </x:c>
      <x:c r="F87" s="15" t="n">
        <x:v>46273</x:v>
      </x:c>
      <x:c r="G87" s="18"/>
      <x:c r="H87" s="16" t="n">
        <x:v>5</x:v>
      </x:c>
      <x:c r="I87" s="14" t="str">
        <x:v>30리터 제품이라 내부공간이 조금 더 넉넉한것 같고
조작버튼들이 간단하고 직관적이라 사용하기 편해요</x:v>
      </x:c>
      <x:c r="J87" s="14" t="str">
        <x:v>https://www.lge.co.kr/mkt/review/MD10817828/pdpReviewListPopup</x:v>
      </x:c>
      <x:c r="K87" s="14" t="str">
        <x:v>#divReviewList &gt; li[data-review-id="840296"] .message</x:v>
      </x:c>
      <x:c r="L87" s="14"/>
      <x:c r="M87" s="14" t="str">
        <x:v>1a186bfb0104b6b197e53eaa52792160b6ea2428f787bf2c460ad2b0e6f87259</x:v>
      </x:c>
      <x:c r="N87" s="17" t="b">
        <x:v>0</x:v>
      </x:c>
      <x:c r="O87" s="14" t="str">
        <x:v>LGE-R5-GROUP-840296</x:v>
      </x:c>
      <x:c r="P87" s="14" t="n">
        <x:v>46302.05818476852</x:v>
      </x:c>
      <x:c r="Q87" s="14" t="str"/>
      <x:c r="R87" s="17" t="b">
        <x:v>0</x:v>
      </x:c>
      <x:c r="S87" s="14" t="str">
        <x:v>fixed18</x:v>
      </x:c>
    </x:row>
    <x:row r="88" ht="48" customHeight="1">
      <x:c r="A88" s="14" t="str">
        <x:v>837323</x:v>
      </x:c>
      <x:c r="B88" s="14" t="str">
        <x:v>microwave</x:v>
      </x:c>
      <x:c r="C88" s="14" t="str">
        <x:v>MW30EDN</x:v>
      </x:c>
      <x:c r="D88" s="18"/>
      <x:c r="E88" s="14" t="str">
        <x:v>development</x:v>
      </x:c>
      <x:c r="F88" s="15" t="n">
        <x:v>46270</x:v>
      </x:c>
      <x:c r="G88" s="18"/>
      <x:c r="H88" s="16" t="n">
        <x:v>5</x:v>
      </x:c>
      <x:c r="I88" s="14" t="str">
        <x:v>용량 큰거 쓰니 삶의 질이 확 달라지네요. 기능은 딱 전자레인지에 필요한거만 있어 단촐해 보이지만 다 필요없고 가성비 최고입니다.</x:v>
      </x:c>
      <x:c r="J88" s="14" t="str">
        <x:v>https://www.lge.co.kr/mkt/review/MD10817828/pdpReviewListPopup</x:v>
      </x:c>
      <x:c r="K88" s="14" t="str">
        <x:v>#divReviewList &gt; li[data-review-id="837323"] .message</x:v>
      </x:c>
      <x:c r="L88" s="14"/>
      <x:c r="M88" s="14" t="str">
        <x:v>cb960a112e567e1ab1d2892f80a76137dc52645fe93e155b44925c149d6a71e0</x:v>
      </x:c>
      <x:c r="N88" s="17" t="b">
        <x:v>0</x:v>
      </x:c>
      <x:c r="O88" s="14" t="str">
        <x:v>LGE-R5-GROUP-837323</x:v>
      </x:c>
      <x:c r="P88" s="14" t="n">
        <x:v>46302.05818476852</x:v>
      </x:c>
      <x:c r="Q88" s="14" t="str"/>
      <x:c r="R88" s="17" t="b">
        <x:v>0</x:v>
      </x:c>
      <x:c r="S88" s="14" t="str">
        <x:v>fixed18</x:v>
      </x:c>
    </x:row>
    <x:row r="89" ht="48" customHeight="1">
      <x:c r="A89" s="14" t="str">
        <x:v>822940</x:v>
      </x:c>
      <x:c r="B89" s="14" t="str">
        <x:v>microwave</x:v>
      </x:c>
      <x:c r="C89" s="14" t="str">
        <x:v>MW30EDN</x:v>
      </x:c>
      <x:c r="D89" s="18"/>
      <x:c r="E89" s="14" t="str">
        <x:v>development</x:v>
      </x:c>
      <x:c r="F89" s="15" t="n">
        <x:v>46252</x:v>
      </x:c>
      <x:c r="G89" s="18"/>
      <x:c r="H89" s="16" t="n">
        <x:v>5</x:v>
      </x:c>
      <x:c r="I89" s="14" t="str">
        <x:v>작고 좁은 전자랜지를 18년 사용했어요 고장나서 바꾸려면 더더더 걸릴거 같아 바꿨습니다 용량 크고 버튼 직관적이라 좋아요 예쁩니당</x:v>
      </x:c>
      <x:c r="J89" s="14" t="str">
        <x:v>https://www.lge.co.kr/mkt/review/MD10817828/pdpReviewListPopup</x:v>
      </x:c>
      <x:c r="K89" s="14" t="str">
        <x:v>#divReviewList &gt; li[data-review-id="822940"] .message</x:v>
      </x:c>
      <x:c r="L89" s="14"/>
      <x:c r="M89" s="14" t="str">
        <x:v>62d7e996e148a5d8fc01b6b03ccd05c21f2165d7b247e516e7c94de077cb3a5f</x:v>
      </x:c>
      <x:c r="N89" s="17" t="b">
        <x:v>0</x:v>
      </x:c>
      <x:c r="O89" s="14" t="str">
        <x:v>LGE-R5-GROUP-822940</x:v>
      </x:c>
      <x:c r="P89" s="14" t="n">
        <x:v>46302.05818476852</x:v>
      </x:c>
      <x:c r="Q89" s="14" t="str"/>
      <x:c r="R89" s="17" t="b">
        <x:v>0</x:v>
      </x:c>
      <x:c r="S89" s="14" t="str">
        <x:v>fixed18</x:v>
      </x:c>
    </x:row>
    <x:row r="90" ht="54" customHeight="1">
      <x:c r="A90" s="14" t="str">
        <x:v>817898</x:v>
      </x:c>
      <x:c r="B90" s="14" t="str">
        <x:v>microwave</x:v>
      </x:c>
      <x:c r="C90" s="14" t="str">
        <x:v>MW30EDN</x:v>
      </x:c>
      <x:c r="D90" s="18"/>
      <x:c r="E90" s="14" t="str">
        <x:v>development</x:v>
      </x:c>
      <x:c r="F90" s="15" t="n">
        <x:v>46246</x:v>
      </x:c>
      <x:c r="G90" s="18"/>
      <x:c r="H90" s="16" t="n">
        <x:v>5</x:v>
      </x:c>
      <x:c r="I90" s="14" t="str">
        <x:v>전에 사용하던 전자레인지가 오래 되어 구매하게 되었습니다.
색상도 화이트로 했는데, 선택 잘 한 것 같아요. 떼가 금방 타긴 하겠지만. 깨끗하게 잘 써보아야죠^^
만족 합니다~~~~</x:v>
      </x:c>
      <x:c r="J90" s="14" t="str">
        <x:v>https://www.lge.co.kr/mkt/review/MD10817828/pdpReviewListPopup</x:v>
      </x:c>
      <x:c r="K90" s="14" t="str">
        <x:v>#divReviewList &gt; li[data-review-id="817898"] .message</x:v>
      </x:c>
      <x:c r="L90" s="14"/>
      <x:c r="M90" s="14" t="str">
        <x:v>bd235f52fcec68c1804df82b756130944d4ecc496963c382c2be3a75d20090e5</x:v>
      </x:c>
      <x:c r="N90" s="17" t="b">
        <x:v>0</x:v>
      </x:c>
      <x:c r="O90" s="14" t="str">
        <x:v>LGE-R5-GROUP-817898</x:v>
      </x:c>
      <x:c r="P90" s="14" t="n">
        <x:v>46302.05818476852</x:v>
      </x:c>
      <x:c r="Q90" s="14" t="str"/>
      <x:c r="R90" s="17" t="b">
        <x:v>0</x:v>
      </x:c>
      <x:c r="S90" s="14" t="str">
        <x:v>fixed18</x:v>
      </x:c>
    </x:row>
    <x:row r="91" ht="69" customHeight="1">
      <x:c r="A91" s="14" t="str">
        <x:v>817841</x:v>
      </x:c>
      <x:c r="B91" s="14" t="str">
        <x:v>microwave</x:v>
      </x:c>
      <x:c r="C91" s="14" t="str">
        <x:v>MW30EDN</x:v>
      </x:c>
      <x:c r="D91" s="18"/>
      <x:c r="E91" s="14" t="str">
        <x:v>development</x:v>
      </x:c>
      <x:c r="F91" s="15" t="n">
        <x:v>46246</x:v>
      </x:c>
      <x:c r="G91" s="18"/>
      <x:c r="H91" s="16" t="n">
        <x:v>5</x:v>
      </x:c>
      <x:c r="I91" s="14" t="str">
        <x:v>전자렌지가 예전에 쓰던거에 비해 데우기가 빠른편인것같네요
디자인도 이쁘고 온 가족이 유용하게 사용하고있습니다
초등학생인 아이들이 사용하기에 간편하고 어렵지않아서
구매한 제품 대만족입니다^^</x:v>
      </x:c>
      <x:c r="J91" s="14" t="str">
        <x:v>https://www.lge.co.kr/mkt/review/MD10817828/pdpReviewListPopup</x:v>
      </x:c>
      <x:c r="K91" s="14" t="str">
        <x:v>#divReviewList &gt; li[data-review-id="817841"] .message</x:v>
      </x:c>
      <x:c r="L91" s="14"/>
      <x:c r="M91" s="14" t="str">
        <x:v>31e8cf5c68a94f7575e9e6e87de075b4997e17ff0fc8b1d0ffbcbf39d167b883</x:v>
      </x:c>
      <x:c r="N91" s="17" t="b">
        <x:v>0</x:v>
      </x:c>
      <x:c r="O91" s="14" t="str">
        <x:v>LGE-R5-GROUP-817841</x:v>
      </x:c>
      <x:c r="P91" s="14" t="n">
        <x:v>46302.05818476852</x:v>
      </x:c>
      <x:c r="Q91" s="14" t="str"/>
      <x:c r="R91" s="17" t="b">
        <x:v>0</x:v>
      </x:c>
      <x:c r="S91" s="14" t="str">
        <x:v>fixed18</x:v>
      </x:c>
    </x:row>
    <x:row r="92" ht="48" customHeight="1">
      <x:c r="A92" s="14" t="str">
        <x:v>813984</x:v>
      </x:c>
      <x:c r="B92" s="14" t="str">
        <x:v>microwave</x:v>
      </x:c>
      <x:c r="C92" s="14" t="str">
        <x:v>MW30EDN</x:v>
      </x:c>
      <x:c r="D92" s="18"/>
      <x:c r="E92" s="14" t="str">
        <x:v>demonstration</x:v>
      </x:c>
      <x:c r="F92" s="15" t="n">
        <x:v>46242</x:v>
      </x:c>
      <x:c r="G92" s="18"/>
      <x:c r="H92" s="16" t="n">
        <x:v>5</x:v>
      </x:c>
      <x:c r="I92" s="14" t="str">
        <x:v>디자인이 깔끔하고 조작이 간편해서 만족스럽습니다. 음식 데우는 시간이 빠르고 골고루 따뜻하게 데워져서 간단한 식사나 간식 준비할 때 유용하게 잘 사용하고 있습니다.</x:v>
      </x:c>
      <x:c r="J92" s="14" t="str">
        <x:v>https://www.lge.co.kr/mkt/review/MD10817828/pdpReviewListPopup</x:v>
      </x:c>
      <x:c r="K92" s="14" t="str">
        <x:v>#divReviewList &gt; li[data-review-id="813984"] .message</x:v>
      </x:c>
      <x:c r="L92" s="14"/>
      <x:c r="M92" s="14" t="str">
        <x:v>7dc3aa82726afb9ce23fddb5dab4906fe11aa531ea9ab4f4dd4178daedb1d773</x:v>
      </x:c>
      <x:c r="N92" s="17" t="b">
        <x:v>0</x:v>
      </x:c>
      <x:c r="O92" s="14" t="str">
        <x:v>LGE-R5-GROUP-813984</x:v>
      </x:c>
      <x:c r="P92" s="14" t="n">
        <x:v>46302.05818476852</x:v>
      </x:c>
      <x:c r="Q92" s="14" t="str"/>
      <x:c r="R92" s="17" t="b">
        <x:v>0</x:v>
      </x:c>
      <x:c r="S92" s="14" t="str">
        <x:v>fixed18</x:v>
      </x:c>
    </x:row>
    <x:row r="93" ht="48" customHeight="1">
      <x:c r="A93" s="14" t="str">
        <x:v>805735</x:v>
      </x:c>
      <x:c r="B93" s="14" t="str">
        <x:v>microwave</x:v>
      </x:c>
      <x:c r="C93" s="14" t="str">
        <x:v>MW30EDN</x:v>
      </x:c>
      <x:c r="D93" s="18"/>
      <x:c r="E93" s="14" t="str">
        <x:v>development</x:v>
      </x:c>
      <x:c r="F93" s="15" t="n">
        <x:v>46235</x:v>
      </x:c>
      <x:c r="G93" s="18"/>
      <x:c r="H93" s="16" t="n">
        <x:v>5</x:v>
      </x:c>
      <x:c r="I93" s="14" t="str">
        <x:v>30L 구매하였으며 크고 깔끔합니다~만족하며 사용하겠습니다</x:v>
      </x:c>
      <x:c r="J93" s="14" t="str">
        <x:v>https://www.lge.co.kr/mkt/review/MD10817828/pdpReviewListPopup</x:v>
      </x:c>
      <x:c r="K93" s="14" t="str">
        <x:v>#divReviewList &gt; li[data-review-id="805735"] .message</x:v>
      </x:c>
      <x:c r="L93" s="14"/>
      <x:c r="M93" s="14" t="str">
        <x:v>6066523f602072d22d22fbb07672503f13fc612a7fd8e0b763d8a1b5e5e03415</x:v>
      </x:c>
      <x:c r="N93" s="17" t="b">
        <x:v>0</x:v>
      </x:c>
      <x:c r="O93" s="14" t="str">
        <x:v>LGE-R5-GROUP-805735</x:v>
      </x:c>
      <x:c r="P93" s="14" t="n">
        <x:v>46302.05818476852</x:v>
      </x:c>
      <x:c r="Q93" s="14" t="str"/>
      <x:c r="R93" s="17" t="b">
        <x:v>0</x:v>
      </x:c>
      <x:c r="S93" s="14" t="str">
        <x:v>fixed18</x:v>
      </x:c>
    </x:row>
    <x:row r="94" ht="114" customHeight="1">
      <x:c r="A94" s="14" t="str">
        <x:v>819162</x:v>
      </x:c>
      <x:c r="B94" s="14" t="str">
        <x:v>microwave</x:v>
      </x:c>
      <x:c r="C94" s="14" t="str">
        <x:v>MW25B</x:v>
      </x:c>
      <x:c r="D94" s="18"/>
      <x:c r="E94" s="14" t="str">
        <x:v>independent_evaluation</x:v>
      </x:c>
      <x:c r="F94" s="15" t="n">
        <x:v>46248</x:v>
      </x:c>
      <x:c r="G94" s="18"/>
      <x:c r="H94" s="16" t="n">
        <x:v>5</x:v>
      </x:c>
      <x:c r="I94" s="14" t="str">
        <x:v>친척언니가 LG베스트샵에서 이것저것 살림살이(에어컨,티비,전자레인지등등)같이 보러갔다가..
제 뒤늦은집들이 선물로 사줬는데..이제사 후기써요~
디자인 씸플그자체이고,용량도 커서..
아주~잘 사용하고 있어요~
이모델..출시된지는 좀 된듯 싶으나,베스트니깐..베스트샵에 아직도 전시되어 판매하고 있겠죠?ㅎㅎ</x:v>
      </x:c>
      <x:c r="J94" s="14" t="str">
        <x:v>https://www.lge.co.kr/mkt/review/MD08039645/pdpReviewListPopup</x:v>
      </x:c>
      <x:c r="K94" s="14" t="str">
        <x:v>#divReviewList &gt; li[data-review-id="819162"] .message</x:v>
      </x:c>
      <x:c r="L94" s="14"/>
      <x:c r="M94" s="14" t="str">
        <x:v>ff39bd67110a6e34748d98698933344b22474aa9110e08c8ef7edd66bcb94033</x:v>
      </x:c>
      <x:c r="N94" s="17" t="b">
        <x:v>0</x:v>
      </x:c>
      <x:c r="O94" s="14" t="str">
        <x:v>LGE-R5-GROUP-819162</x:v>
      </x:c>
      <x:c r="P94" s="14" t="n">
        <x:v>46302.058200844906</x:v>
      </x:c>
      <x:c r="Q94" s="14" t="str"/>
      <x:c r="R94" s="17" t="b">
        <x:v>0</x:v>
      </x:c>
      <x:c r="S94" s="14" t="str">
        <x:v>fixed18</x:v>
      </x:c>
    </x:row>
    <x:row r="95" ht="48" customHeight="1">
      <x:c r="A95" s="14" t="str">
        <x:v>719838</x:v>
      </x:c>
      <x:c r="B95" s="14" t="str">
        <x:v>microwave</x:v>
      </x:c>
      <x:c r="C95" s="14" t="str">
        <x:v>MW25B</x:v>
      </x:c>
      <x:c r="D95" s="18"/>
      <x:c r="E95" s="14" t="str">
        <x:v>development</x:v>
      </x:c>
      <x:c r="F95" s="15" t="n">
        <x:v>46152</x:v>
      </x:c>
      <x:c r="G95" s="18"/>
      <x:c r="H95" s="16" t="n">
        <x:v>5</x:v>
      </x:c>
      <x:c r="I95" s="14" t="str">
        <x:v>구매하는데 가격도 저렴하고 경제적이고 사용도 편리하고 심플하면서 자주 사용하고 있어요. 감사합니다</x:v>
      </x:c>
      <x:c r="J95" s="14" t="str">
        <x:v>https://www.lge.co.kr/mkt/review/MD08039645/pdpReviewListPopup</x:v>
      </x:c>
      <x:c r="K95" s="14" t="str">
        <x:v>#divReviewList &gt; li[data-review-id="719838"] .message</x:v>
      </x:c>
      <x:c r="L95" s="14"/>
      <x:c r="M95" s="14" t="str">
        <x:v>2c3eab51073880aa77db8fb7574d1346cd3d9b8f983ac2b39d5c5c06c7294784</x:v>
      </x:c>
      <x:c r="N95" s="17" t="b">
        <x:v>0</x:v>
      </x:c>
      <x:c r="O95" s="14" t="str">
        <x:v>LGE-R5-GROUP-719838</x:v>
      </x:c>
      <x:c r="P95" s="14" t="n">
        <x:v>46302.058200844906</x:v>
      </x:c>
      <x:c r="Q95" s="14" t="str"/>
      <x:c r="R95" s="17" t="b">
        <x:v>0</x:v>
      </x:c>
      <x:c r="S95" s="14" t="str">
        <x:v>fixed18</x:v>
      </x:c>
    </x:row>
    <x:row r="96" ht="54" customHeight="1">
      <x:c r="A96" s="14" t="str">
        <x:v>589820</x:v>
      </x:c>
      <x:c r="B96" s="14" t="str">
        <x:v>microwave</x:v>
      </x:c>
      <x:c r="C96" s="14" t="str">
        <x:v>MW25B</x:v>
      </x:c>
      <x:c r="D96" s="18"/>
      <x:c r="E96" s="14" t="str">
        <x:v>development</x:v>
      </x:c>
      <x:c r="F96" s="15" t="n">
        <x:v>46018</x:v>
      </x:c>
      <x:c r="G96" s="18"/>
      <x:c r="H96" s="16" t="n">
        <x:v>5</x:v>
      </x:c>
      <x:c r="I96" s="14" t="str">
        <x:v>무난하게쓰기 좋아요 
디자인도 세련된느낌 가격도 합리적입니다
엘지 전자레인지는 처음인데 좋은거 같아요 !!</x:v>
      </x:c>
      <x:c r="J96" s="14" t="str">
        <x:v>https://www.lge.co.kr/mkt/review/MD08039645/pdpReviewListPopup</x:v>
      </x:c>
      <x:c r="K96" s="14" t="str">
        <x:v>#divReviewList &gt; li[data-review-id="589820"] .message</x:v>
      </x:c>
      <x:c r="L96" s="14"/>
      <x:c r="M96" s="14" t="str">
        <x:v>8b14a773a2d08a8addf68027f8e153a50a2e823646d467430188b6d1a2753d9d</x:v>
      </x:c>
      <x:c r="N96" s="17" t="b">
        <x:v>0</x:v>
      </x:c>
      <x:c r="O96" s="14" t="str">
        <x:v>LGE-R5-GROUP-589820</x:v>
      </x:c>
      <x:c r="P96" s="14" t="n">
        <x:v>46302.058200844906</x:v>
      </x:c>
      <x:c r="Q96" s="14" t="str"/>
      <x:c r="R96" s="17" t="b">
        <x:v>0</x:v>
      </x:c>
      <x:c r="S96" s="14" t="str">
        <x:v>fixed18</x:v>
      </x:c>
    </x:row>
    <x:row r="97" ht="48" customHeight="1">
      <x:c r="A97" s="14" t="str">
        <x:v>50265</x:v>
      </x:c>
      <x:c r="B97" s="14" t="str">
        <x:v>microwave</x:v>
      </x:c>
      <x:c r="C97" s="14" t="str">
        <x:v>MW25B</x:v>
      </x:c>
      <x:c r="D97" s="18"/>
      <x:c r="E97" s="14" t="str">
        <x:v>demonstration</x:v>
      </x:c>
      <x:c r="F97" s="15" t="n">
        <x:v>45421</x:v>
      </x:c>
      <x:c r="G97" s="18"/>
      <x:c r="H97" s="16" t="n">
        <x:v>5</x:v>
      </x:c>
      <x:c r="I97" s="14" t="str">
        <x:v>쓰기 편리하고  6년째 잘 쓰고 있어요
계란 후라이도 전자렌지에 할수 있어요</x:v>
      </x:c>
      <x:c r="J97" s="14" t="str">
        <x:v>https://www.lge.co.kr/mkt/review/MD08039645/pdpReviewListPopup</x:v>
      </x:c>
      <x:c r="K97" s="14" t="str">
        <x:v>#divReviewList &gt; li[data-review-id="50265"] .message</x:v>
      </x:c>
      <x:c r="L97" s="14"/>
      <x:c r="M97" s="14" t="str">
        <x:v>e7098ee61e3270fc3805d23cc3ebf760dbae944e5168de5fe69466ba9bc3f720</x:v>
      </x:c>
      <x:c r="N97" s="17" t="b">
        <x:v>0</x:v>
      </x:c>
      <x:c r="O97" s="14" t="str">
        <x:v>LGE-R5-GROUP-50265</x:v>
      </x:c>
      <x:c r="P97" s="14" t="n">
        <x:v>46302.058200844906</x:v>
      </x:c>
      <x:c r="Q97" s="14" t="str"/>
      <x:c r="R97" s="17" t="b">
        <x:v>0</x:v>
      </x:c>
      <x:c r="S97" s="14" t="str">
        <x:v>fixed18</x:v>
      </x:c>
    </x:row>
    <x:row r="98" ht="48" customHeight="1">
      <x:c r="A98" s="14" t="str">
        <x:v>606642</x:v>
      </x:c>
      <x:c r="B98" s="14" t="str">
        <x:v>microwave</x:v>
      </x:c>
      <x:c r="C98" s="14" t="str">
        <x:v>MW25B</x:v>
      </x:c>
      <x:c r="D98" s="18"/>
      <x:c r="E98" s="14" t="str">
        <x:v>development</x:v>
      </x:c>
      <x:c r="F98" s="15" t="n">
        <x:v>46035</x:v>
      </x:c>
      <x:c r="G98" s="18"/>
      <x:c r="H98" s="16" t="n">
        <x:v>5</x:v>
      </x:c>
      <x:c r="I98" s="14" t="str">
        <x:v>크기도 적당하고 광파오븐하고 고민하다가 가성비가 뛰어난 제품으로 구입했습니다.</x:v>
      </x:c>
      <x:c r="J98" s="14" t="str">
        <x:v>https://www.lge.co.kr/mkt/review/MD08039645/pdpReviewListPopup</x:v>
      </x:c>
      <x:c r="K98" s="14" t="str">
        <x:v>#divReviewList &gt; li[data-review-id="606642"] .message</x:v>
      </x:c>
      <x:c r="L98" s="14"/>
      <x:c r="M98" s="14" t="str">
        <x:v>853ed732df9d80884028feadc3dbf2bf52313b407be52bbad0a277c01c01648c</x:v>
      </x:c>
      <x:c r="N98" s="17" t="b">
        <x:v>0</x:v>
      </x:c>
      <x:c r="O98" s="14" t="str">
        <x:v>LGE-R5-GROUP-606642</x:v>
      </x:c>
      <x:c r="P98" s="14" t="n">
        <x:v>46302.058200844906</x:v>
      </x:c>
      <x:c r="Q98" s="14" t="str"/>
      <x:c r="R98" s="17" t="b">
        <x:v>0</x:v>
      </x:c>
      <x:c r="S98" s="14" t="str">
        <x:v>fixed18</x:v>
      </x:c>
    </x:row>
    <x:row r="99" ht="48" customHeight="1">
      <x:c r="A99" s="14" t="str">
        <x:v>525826</x:v>
      </x:c>
      <x:c r="B99" s="14" t="str">
        <x:v>microwave</x:v>
      </x:c>
      <x:c r="C99" s="14" t="str">
        <x:v>MW25B</x:v>
      </x:c>
      <x:c r="D99" s="18"/>
      <x:c r="E99" s="14" t="str">
        <x:v>development</x:v>
      </x:c>
      <x:c r="F99" s="15" t="n">
        <x:v>45958</x:v>
      </x:c>
      <x:c r="G99" s="18"/>
      <x:c r="H99" s="16" t="n">
        <x:v>5</x:v>
      </x:c>
      <x:c r="I99" s="14" t="str">
        <x:v>디자인 이쁘고 성능도 좋고 소음도 없는편이라 사용하기 좋아요</x:v>
      </x:c>
      <x:c r="J99" s="14" t="str">
        <x:v>https://www.lge.co.kr/mkt/review/MD08039645/pdpReviewListPopup</x:v>
      </x:c>
      <x:c r="K99" s="14" t="str">
        <x:v>#divReviewList &gt; li[data-review-id="525826"] .message</x:v>
      </x:c>
      <x:c r="L99" s="14"/>
      <x:c r="M99" s="14" t="str">
        <x:v>9d6c03f88640e5f428ce9ea9d0f3bac08afc4966a40248dc497447c7f0e35cae</x:v>
      </x:c>
      <x:c r="N99" s="17" t="b">
        <x:v>0</x:v>
      </x:c>
      <x:c r="O99" s="14" t="str">
        <x:v>LGE-R5-GROUP-525826</x:v>
      </x:c>
      <x:c r="P99" s="14" t="n">
        <x:v>46302.058200844906</x:v>
      </x:c>
      <x:c r="Q99" s="14" t="str"/>
      <x:c r="R99" s="17" t="b">
        <x:v>0</x:v>
      </x:c>
      <x:c r="S99" s="14" t="str">
        <x:v>fixed18</x:v>
      </x:c>
    </x:row>
    <x:row r="100" ht="48" customHeight="1">
      <x:c r="A100" s="14" t="str">
        <x:v>859715</x:v>
      </x:c>
      <x:c r="B100" s="14" t="str">
        <x:v>microwave</x:v>
      </x:c>
      <x:c r="C100" s="14" t="str">
        <x:v>MW25B</x:v>
      </x:c>
      <x:c r="D100" s="18"/>
      <x:c r="E100" s="14" t="str">
        <x:v>development</x:v>
      </x:c>
      <x:c r="F100" s="15" t="n">
        <x:v>46299</x:v>
      </x:c>
      <x:c r="G100" s="18"/>
      <x:c r="H100" s="16" t="n">
        <x:v>5</x:v>
      </x:c>
      <x:c r="I100" s="14" t="str">
        <x:v>설치 장소와 제품 규격 새이즈가 맞는지 렌즈 수납장의 살치위치와 가로세로 깊이가 맞는지가 중요함</x:v>
      </x:c>
      <x:c r="J100" s="14" t="str">
        <x:v>https://www.lge.co.kr/mkt/review/MD08039645/pdpReviewListPopup</x:v>
      </x:c>
      <x:c r="K100" s="14" t="str">
        <x:v>#divReviewList &gt; li[data-review-id="859715"] .message</x:v>
      </x:c>
      <x:c r="L100" s="14"/>
      <x:c r="M100" s="14" t="str">
        <x:v>df036be3aea89a13ae58abecc1a87947da275145cb5624c31ff7cd5e5c767769</x:v>
      </x:c>
      <x:c r="N100" s="17" t="b">
        <x:v>0</x:v>
      </x:c>
      <x:c r="O100" s="14" t="str">
        <x:v>LGE-R5-GROUP-859715</x:v>
      </x:c>
      <x:c r="P100" s="14" t="n">
        <x:v>46302.058200844906</x:v>
      </x:c>
      <x:c r="Q100" s="14" t="str"/>
      <x:c r="R100" s="17" t="b">
        <x:v>0</x:v>
      </x:c>
      <x:c r="S100" s="14" t="str">
        <x:v>fixed18</x:v>
      </x:c>
    </x:row>
    <x:row r="101" ht="48" customHeight="1">
      <x:c r="A101" s="14" t="str">
        <x:v>858864</x:v>
      </x:c>
      <x:c r="B101" s="14" t="str">
        <x:v>microwave</x:v>
      </x:c>
      <x:c r="C101" s="14" t="str">
        <x:v>MW25B</x:v>
      </x:c>
      <x:c r="D101" s="18"/>
      <x:c r="E101" s="14" t="str">
        <x:v>independent_evaluation</x:v>
      </x:c>
      <x:c r="F101" s="15" t="n">
        <x:v>46298</x:v>
      </x:c>
      <x:c r="G101" s="18"/>
      <x:c r="H101" s="16" t="n">
        <x:v>5</x:v>
      </x:c>
      <x:c r="I101" s="14" t="str">
        <x:v>아주 만족하고 좋습니다
육각 회전판이 너무 좋네요 안정적이고</x:v>
      </x:c>
      <x:c r="J101" s="14" t="str">
        <x:v>https://www.lge.co.kr/mkt/review/MD08039645/pdpReviewListPopup</x:v>
      </x:c>
      <x:c r="K101" s="14" t="str">
        <x:v>#divReviewList &gt; li[data-review-id="858864"] .message</x:v>
      </x:c>
      <x:c r="L101" s="14"/>
      <x:c r="M101" s="14" t="str">
        <x:v>659c1802d02ffabd8ba51abe1a23f87b3d20044b693755cab9fb54a20053b71f</x:v>
      </x:c>
      <x:c r="N101" s="17" t="b">
        <x:v>0</x:v>
      </x:c>
      <x:c r="O101" s="14" t="str">
        <x:v>LGE-R5-GROUP-858864</x:v>
      </x:c>
      <x:c r="P101" s="14" t="n">
        <x:v>46302.058200844906</x:v>
      </x:c>
      <x:c r="Q101" s="14" t="str"/>
      <x:c r="R101" s="17" t="b">
        <x:v>0</x:v>
      </x:c>
      <x:c r="S101" s="14" t="str">
        <x:v>fixed18</x:v>
      </x:c>
    </x:row>
    <x:row r="102" ht="48" customHeight="1">
      <x:c r="A102" s="14" t="str">
        <x:v>857470</x:v>
      </x:c>
      <x:c r="B102" s="14" t="str">
        <x:v>microwave</x:v>
      </x:c>
      <x:c r="C102" s="14" t="str">
        <x:v>MW25B</x:v>
      </x:c>
      <x:c r="D102" s="18"/>
      <x:c r="E102" s="14" t="str">
        <x:v>demonstration</x:v>
      </x:c>
      <x:c r="F102" s="15" t="n">
        <x:v>46296</x:v>
      </x:c>
      <x:c r="G102" s="18"/>
      <x:c r="H102" s="16" t="n">
        <x:v>5</x:v>
      </x:c>
      <x:c r="I102" s="14" t="str">
        <x:v>아주아주아주아주아주아주으주이쥐우자위주이주아어아아ㅏ아아ㅏ아아으으</x:v>
      </x:c>
      <x:c r="J102" s="14" t="str">
        <x:v>https://www.lge.co.kr/mkt/review/MD08039645/pdpReviewListPopup</x:v>
      </x:c>
      <x:c r="K102" s="14" t="str">
        <x:v>#divReviewList &gt; li[data-review-id="857470"] .message</x:v>
      </x:c>
      <x:c r="L102" s="14"/>
      <x:c r="M102" s="14" t="str">
        <x:v>535f084f917f23bb71225e778cb5c4bcee4024c8bcf3058b171cd67de2fef856</x:v>
      </x:c>
      <x:c r="N102" s="17" t="b">
        <x:v>0</x:v>
      </x:c>
      <x:c r="O102" s="14" t="str">
        <x:v>LGE-R5-GROUP-857470</x:v>
      </x:c>
      <x:c r="P102" s="14" t="n">
        <x:v>46302.058200844906</x:v>
      </x:c>
      <x:c r="Q102" s="14" t="str"/>
      <x:c r="R102" s="17" t="b">
        <x:v>0</x:v>
      </x:c>
      <x:c r="S102" s="14" t="str">
        <x:v>fixed18</x:v>
      </x:c>
    </x:row>
    <x:row r="103" ht="84" customHeight="1">
      <x:c r="A103" s="14" t="str">
        <x:v>856244</x:v>
      </x:c>
      <x:c r="B103" s="14" t="str">
        <x:v>microwave</x:v>
      </x:c>
      <x:c r="C103" s="14" t="str">
        <x:v>MW25B</x:v>
      </x:c>
      <x:c r="D103" s="18"/>
      <x:c r="E103" s="14" t="str">
        <x:v>development</x:v>
      </x:c>
      <x:c r="F103" s="15" t="n">
        <x:v>46295</x:v>
      </x:c>
      <x:c r="G103" s="18"/>
      <x:c r="H103" s="16" t="n">
        <x:v>5</x:v>
      </x:c>
      <x:c r="I103" s="14" t="str">
        <x:v>전자렌지를 원룸자취방에 보내고 구입했습니다. 
전에 쓰던  모델이라서 별다른 어려움없이  
사용하고 있습니다 ~
지난번제품도 고장한번 없었는데...^^
이제품도 잘~~~사용하겠죠 ㅡ !!!</x:v>
      </x:c>
      <x:c r="J103" s="14" t="str">
        <x:v>https://www.lge.co.kr/mkt/review/MD08039645/pdpReviewListPopup</x:v>
      </x:c>
      <x:c r="K103" s="14" t="str">
        <x:v>#divReviewList &gt; li[data-review-id="856244"] .message</x:v>
      </x:c>
      <x:c r="L103" s="14"/>
      <x:c r="M103" s="14" t="str">
        <x:v>2f64ecb8d3c81f1e2a7399931bc00210bc4bca9fa435a55c661dfbea1b1f477a</x:v>
      </x:c>
      <x:c r="N103" s="17" t="b">
        <x:v>0</x:v>
      </x:c>
      <x:c r="O103" s="14" t="str">
        <x:v>LGE-R5-GROUP-856244</x:v>
      </x:c>
      <x:c r="P103" s="14" t="n">
        <x:v>46302.058200844906</x:v>
      </x:c>
      <x:c r="Q103" s="14" t="str"/>
      <x:c r="R103" s="17" t="b">
        <x:v>0</x:v>
      </x:c>
      <x:c r="S103" s="14" t="str">
        <x:v>fixed18</x:v>
      </x:c>
    </x:row>
    <x:row r="104" ht="48" customHeight="1">
      <x:c r="A104" s="14" t="str">
        <x:v>635873</x:v>
      </x:c>
      <x:c r="B104" s="14" t="str">
        <x:v>microwave</x:v>
      </x:c>
      <x:c r="C104" s="14" t="str">
        <x:v>MWJ25E</x:v>
      </x:c>
      <x:c r="D104" s="18"/>
      <x:c r="E104" s="14" t="str">
        <x:v>development</x:v>
      </x:c>
      <x:c r="F104" s="15" t="n">
        <x:v>46064</x:v>
      </x:c>
      <x:c r="G104" s="18"/>
      <x:c r="H104" s="16" t="n">
        <x:v>5</x:v>
      </x:c>
      <x:c r="I104" s="14" t="str">
        <x:v>디자인도 예쁘고 기본에충실한 데우기로만 사용한 렌즈선택했어요</x:v>
      </x:c>
      <x:c r="J104" s="14" t="str">
        <x:v>https://www.lge.co.kr/mkt/review/MD09144829/pdpReviewListPopup</x:v>
      </x:c>
      <x:c r="K104" s="14" t="str">
        <x:v>#divReviewList &gt; li[data-review-id="635873"] .message</x:v>
      </x:c>
      <x:c r="L104" s="14"/>
      <x:c r="M104" s="14" t="str">
        <x:v>0fd9877cc1cee43281b7e18f7423b6012d082da2aff562fea47a754e5e1e460a</x:v>
      </x:c>
      <x:c r="N104" s="17" t="b">
        <x:v>0</x:v>
      </x:c>
      <x:c r="O104" s="14" t="str">
        <x:v>LGE-R5-GROUP-635873</x:v>
      </x:c>
      <x:c r="P104" s="14" t="n">
        <x:v>46302.05821711806</x:v>
      </x:c>
      <x:c r="Q104" s="14" t="str"/>
      <x:c r="R104" s="17" t="b">
        <x:v>0</x:v>
      </x:c>
      <x:c r="S104" s="14" t="str">
        <x:v>fixed18</x:v>
      </x:c>
    </x:row>
    <x:row r="105" ht="48" customHeight="1">
      <x:c r="A105" s="14" t="str">
        <x:v>631655</x:v>
      </x:c>
      <x:c r="B105" s="14" t="str">
        <x:v>microwave</x:v>
      </x:c>
      <x:c r="C105" s="14" t="str">
        <x:v>MWJ25E</x:v>
      </x:c>
      <x:c r="D105" s="18"/>
      <x:c r="E105" s="14" t="str">
        <x:v>development</x:v>
      </x:c>
      <x:c r="F105" s="15" t="n">
        <x:v>46060</x:v>
      </x:c>
      <x:c r="G105" s="18"/>
      <x:c r="H105" s="16" t="n">
        <x:v>5</x:v>
      </x:c>
      <x:c r="I105" s="14" t="str">
        <x:v>깔끔한 디자인과 간편한 버턴이 가장 마음에 듭니다~
조리 시간 조정이 다이얼방식이라 더 편리하네요~</x:v>
      </x:c>
      <x:c r="J105" s="14" t="str">
        <x:v>https://www.lge.co.kr/mkt/review/MD09144829/pdpReviewListPopup</x:v>
      </x:c>
      <x:c r="K105" s="14" t="str">
        <x:v>#divReviewList &gt; li[data-review-id="631655"] .message</x:v>
      </x:c>
      <x:c r="L105" s="14"/>
      <x:c r="M105" s="14" t="str">
        <x:v>5f564acd68943e341d74d98ff7d92ac9a26339986f6281f1263e45064fe682a0</x:v>
      </x:c>
      <x:c r="N105" s="17" t="b">
        <x:v>0</x:v>
      </x:c>
      <x:c r="O105" s="14" t="str">
        <x:v>LGE-R5-GROUP-631655</x:v>
      </x:c>
      <x:c r="P105" s="14" t="n">
        <x:v>46302.05821711806</x:v>
      </x:c>
      <x:c r="Q105" s="14" t="str"/>
      <x:c r="R105" s="17" t="b">
        <x:v>0</x:v>
      </x:c>
      <x:c r="S105" s="14" t="str">
        <x:v>fixed18</x:v>
      </x:c>
    </x:row>
    <x:row r="106" ht="48" customHeight="1">
      <x:c r="A106" s="14" t="str">
        <x:v>613777</x:v>
      </x:c>
      <x:c r="B106" s="14" t="str">
        <x:v>microwave</x:v>
      </x:c>
      <x:c r="C106" s="14" t="str">
        <x:v>MWJ25E</x:v>
      </x:c>
      <x:c r="D106" s="18"/>
      <x:c r="E106" s="14" t="str">
        <x:v>demonstration</x:v>
      </x:c>
      <x:c r="F106" s="15" t="n">
        <x:v>46043</x:v>
      </x:c>
      <x:c r="G106" s="18"/>
      <x:c r="H106" s="16" t="n">
        <x:v>5</x:v>
      </x:c>
      <x:c r="I106" s="14" t="str">
        <x:v>2003년도 결혼때 구매 사용하던 제품이 수명이 다하여 교체하였습니다. 이 제품 전에 쓰던거 보다 더 좋아요.
진작에 바꾸서 쓸걸 그랬나 봐요</x:v>
      </x:c>
      <x:c r="J106" s="14" t="str">
        <x:v>https://www.lge.co.kr/mkt/review/MD09144829/pdpReviewListPopup</x:v>
      </x:c>
      <x:c r="K106" s="14" t="str">
        <x:v>#divReviewList &gt; li[data-review-id="613777"] .message</x:v>
      </x:c>
      <x:c r="L106" s="14"/>
      <x:c r="M106" s="14" t="str">
        <x:v>2dc1f4b1459e9ad94a74b9ee5ffc7f184aa35631e7fc592358c5e7ec9dc7a125</x:v>
      </x:c>
      <x:c r="N106" s="17" t="b">
        <x:v>0</x:v>
      </x:c>
      <x:c r="O106" s="14" t="str">
        <x:v>LGE-R5-GROUP-613777</x:v>
      </x:c>
      <x:c r="P106" s="14" t="n">
        <x:v>46302.05821711806</x:v>
      </x:c>
      <x:c r="Q106" s="14" t="str"/>
      <x:c r="R106" s="17" t="b">
        <x:v>0</x:v>
      </x:c>
      <x:c r="S106" s="14" t="str">
        <x:v>fixed18</x:v>
      </x:c>
    </x:row>
    <x:row r="107" ht="48" customHeight="1">
      <x:c r="A107" s="14" t="str">
        <x:v>455787</x:v>
      </x:c>
      <x:c r="B107" s="14" t="str">
        <x:v>microwave</x:v>
      </x:c>
      <x:c r="C107" s="14" t="str">
        <x:v>MWJ25E</x:v>
      </x:c>
      <x:c r="D107" s="18"/>
      <x:c r="E107" s="14" t="str">
        <x:v>development</x:v>
      </x:c>
      <x:c r="F107" s="15" t="n">
        <x:v>45889</x:v>
      </x:c>
      <x:c r="G107" s="18"/>
      <x:c r="H107" s="16" t="n">
        <x:v>5</x:v>
      </x:c>
      <x:c r="I107" s="14" t="str">
        <x:v>오브제컬렉션 디자인 고급스러워요.
기능도 성능도 좋아요. 👍</x:v>
      </x:c>
      <x:c r="J107" s="14" t="str">
        <x:v>https://www.lge.co.kr/mkt/review/MD09144829/pdpReviewListPopup</x:v>
      </x:c>
      <x:c r="K107" s="14" t="str">
        <x:v>#divReviewList &gt; li[data-review-id="455787"] .message</x:v>
      </x:c>
      <x:c r="L107" s="14"/>
      <x:c r="M107" s="14" t="str">
        <x:v>e317ccd3bc18d55e10d1038eb9c42fed1bb92da963d84293f43e9de75234dc51</x:v>
      </x:c>
      <x:c r="N107" s="17" t="b">
        <x:v>0</x:v>
      </x:c>
      <x:c r="O107" s="14" t="str">
        <x:v>LGE-R5-GROUP-455787</x:v>
      </x:c>
      <x:c r="P107" s="14" t="n">
        <x:v>46302.05821711806</x:v>
      </x:c>
      <x:c r="Q107" s="14" t="str"/>
      <x:c r="R107" s="17" t="b">
        <x:v>0</x:v>
      </x:c>
      <x:c r="S107" s="14" t="str">
        <x:v>fixed18</x:v>
      </x:c>
    </x:row>
    <x:row r="108" ht="48" customHeight="1">
      <x:c r="A108" s="14" t="str">
        <x:v>349833</x:v>
      </x:c>
      <x:c r="B108" s="14" t="str">
        <x:v>microwave</x:v>
      </x:c>
      <x:c r="C108" s="14" t="str">
        <x:v>MWJ25E</x:v>
      </x:c>
      <x:c r="D108" s="18"/>
      <x:c r="E108" s="14" t="str">
        <x:v>demonstration</x:v>
      </x:c>
      <x:c r="F108" s="15" t="n">
        <x:v>45799</x:v>
      </x:c>
      <x:c r="G108" s="18"/>
      <x:c r="H108" s="16" t="n">
        <x:v>5</x:v>
      </x:c>
      <x:c r="I108" s="14" t="str">
        <x:v>디자인 깔끔하고 예쁩니다   엘지전자렌지 20년쯤  사용 버튼 고장으로 또 엘지로 구매했어요  슬림해지고. 단순해졌는데 성능은 그대로인듯~</x:v>
      </x:c>
      <x:c r="J108" s="14" t="str">
        <x:v>https://www.lge.co.kr/mkt/review/MD09144829/pdpReviewListPopup</x:v>
      </x:c>
      <x:c r="K108" s="14" t="str">
        <x:v>#divReviewList &gt; li[data-review-id="349833"] .message</x:v>
      </x:c>
      <x:c r="L108" s="14"/>
      <x:c r="M108" s="14" t="str">
        <x:v>e6dd44f83aaa6828e65b58e1b350396cf5e5df61a404ba2a43d8c9f478dc4a32</x:v>
      </x:c>
      <x:c r="N108" s="17" t="b">
        <x:v>0</x:v>
      </x:c>
      <x:c r="O108" s="14" t="str">
        <x:v>LGE-R5-GROUP-349833</x:v>
      </x:c>
      <x:c r="P108" s="14" t="n">
        <x:v>46302.05821711806</x:v>
      </x:c>
      <x:c r="Q108" s="14" t="str"/>
      <x:c r="R108" s="17" t="b">
        <x:v>0</x:v>
      </x:c>
      <x:c r="S108" s="14" t="str">
        <x:v>fixed18</x:v>
      </x:c>
    </x:row>
    <x:row r="109" ht="48" customHeight="1">
      <x:c r="A109" s="14" t="str">
        <x:v>267547</x:v>
      </x:c>
      <x:c r="B109" s="14" t="str">
        <x:v>microwave</x:v>
      </x:c>
      <x:c r="C109" s="14" t="str">
        <x:v>MWJ25E</x:v>
      </x:c>
      <x:c r="D109" s="18"/>
      <x:c r="E109" s="14" t="str">
        <x:v>independent_evaluation</x:v>
      </x:c>
      <x:c r="F109" s="15" t="n">
        <x:v>45743</x:v>
      </x:c>
      <x:c r="G109" s="18"/>
      <x:c r="H109" s="16" t="n">
        <x:v>5</x:v>
      </x:c>
      <x:c r="I109" s="14" t="str">
        <x:v>가전은 엘지 잘사용하고 있습니다.</x:v>
      </x:c>
      <x:c r="J109" s="14" t="str">
        <x:v>https://www.lge.co.kr/mkt/review/MD09144829/pdpReviewListPopup</x:v>
      </x:c>
      <x:c r="K109" s="14" t="str">
        <x:v>#divReviewList &gt; li[data-review-id="267547"] .message</x:v>
      </x:c>
      <x:c r="L109" s="14"/>
      <x:c r="M109" s="14" t="str">
        <x:v>4f050729789186261bc9ef16f446734eec38955b3bd4e4be1dd96a93a2adbcbd</x:v>
      </x:c>
      <x:c r="N109" s="17" t="b">
        <x:v>0</x:v>
      </x:c>
      <x:c r="O109" s="14" t="str">
        <x:v>LGE-R5-GROUP-267547</x:v>
      </x:c>
      <x:c r="P109" s="14" t="n">
        <x:v>46302.05821711806</x:v>
      </x:c>
      <x:c r="Q109" s="14" t="str"/>
      <x:c r="R109" s="17" t="b">
        <x:v>0</x:v>
      </x:c>
      <x:c r="S109" s="14" t="str">
        <x:v>fixed18</x:v>
      </x:c>
    </x:row>
    <x:row r="110" ht="48" customHeight="1">
      <x:c r="A110" s="14" t="str">
        <x:v>236434</x:v>
      </x:c>
      <x:c r="B110" s="14" t="str">
        <x:v>microwave</x:v>
      </x:c>
      <x:c r="C110" s="14" t="str">
        <x:v>MWJ25E</x:v>
      </x:c>
      <x:c r="D110" s="18"/>
      <x:c r="E110" s="14" t="str">
        <x:v>development</x:v>
      </x:c>
      <x:c r="F110" s="15" t="n">
        <x:v>45692</x:v>
      </x:c>
      <x:c r="G110" s="18"/>
      <x:c r="H110" s="16" t="n">
        <x:v>5</x:v>
      </x:c>
      <x:c r="I110" s="14" t="str">
        <x:v>25년된 오래된 빨간색 전자렌지가 고장나지 않아 새로 구입했어요. 문열 때 튀어나온 부분(손잡이)이 없어서 깔끔해요. 앞으로 잘 쓸게요.</x:v>
      </x:c>
      <x:c r="J110" s="14" t="str">
        <x:v>https://www.lge.co.kr/mkt/review/MD09144829/pdpReviewListPopup</x:v>
      </x:c>
      <x:c r="K110" s="14" t="str">
        <x:v>#divReviewList &gt; li[data-review-id="236434"] .message</x:v>
      </x:c>
      <x:c r="L110" s="14"/>
      <x:c r="M110" s="14" t="str">
        <x:v>86d042a962a5565dc6ed7d2e51afaf3fe7e6b2ed05c486273dd29e77c6dfb797</x:v>
      </x:c>
      <x:c r="N110" s="17" t="b">
        <x:v>0</x:v>
      </x:c>
      <x:c r="O110" s="14" t="str">
        <x:v>LGE-R5-GROUP-236434</x:v>
      </x:c>
      <x:c r="P110" s="14" t="n">
        <x:v>46302.05821711806</x:v>
      </x:c>
      <x:c r="Q110" s="14" t="str"/>
      <x:c r="R110" s="17" t="b">
        <x:v>0</x:v>
      </x:c>
      <x:c r="S110" s="14" t="str">
        <x:v>fixed18</x:v>
      </x:c>
    </x:row>
    <x:row r="111" ht="48" customHeight="1">
      <x:c r="A111" s="14" t="str">
        <x:v>222140</x:v>
      </x:c>
      <x:c r="B111" s="14" t="str">
        <x:v>microwave</x:v>
      </x:c>
      <x:c r="C111" s="14" t="str">
        <x:v>MWJ25E</x:v>
      </x:c>
      <x:c r="D111" s="18"/>
      <x:c r="E111" s="14" t="str">
        <x:v>development</x:v>
      </x:c>
      <x:c r="F111" s="15" t="n">
        <x:v>45668</x:v>
      </x:c>
      <x:c r="G111" s="18"/>
      <x:c r="H111" s="16" t="n">
        <x:v>5</x:v>
      </x:c>
      <x:c r="I111" s="14" t="str">
        <x:v>출력 조절 가능하고 조작이 쉽네요. 크리스탈베이지 색도 예쁩니다.</x:v>
      </x:c>
      <x:c r="J111" s="14" t="str">
        <x:v>https://www.lge.co.kr/mkt/review/MD09144829/pdpReviewListPopup</x:v>
      </x:c>
      <x:c r="K111" s="14" t="str">
        <x:v>#divReviewList &gt; li[data-review-id="222140"] .message</x:v>
      </x:c>
      <x:c r="L111" s="14"/>
      <x:c r="M111" s="14" t="str">
        <x:v>138a0c31e87d105aba87f1ebd22769839b4fa9773e5bbba2c668e481d9a094f4</x:v>
      </x:c>
      <x:c r="N111" s="17" t="b">
        <x:v>0</x:v>
      </x:c>
      <x:c r="O111" s="14" t="str">
        <x:v>LGE-R5-GROUP-222140</x:v>
      </x:c>
      <x:c r="P111" s="14" t="n">
        <x:v>46302.05821711806</x:v>
      </x:c>
      <x:c r="Q111" s="14" t="str"/>
      <x:c r="R111" s="17" t="b">
        <x:v>0</x:v>
      </x:c>
      <x:c r="S111" s="14" t="str">
        <x:v>fixed18</x:v>
      </x:c>
    </x:row>
    <x:row r="112" ht="48" customHeight="1">
      <x:c r="A112" s="14" t="str">
        <x:v>45725</x:v>
      </x:c>
      <x:c r="B112" s="14" t="str">
        <x:v>microwave</x:v>
      </x:c>
      <x:c r="C112" s="14" t="str">
        <x:v>MWJ25E</x:v>
      </x:c>
      <x:c r="D112" s="18"/>
      <x:c r="E112" s="14" t="str">
        <x:v>development</x:v>
      </x:c>
      <x:c r="F112" s="15" t="n">
        <x:v>45402</x:v>
      </x:c>
      <x:c r="G112" s="18"/>
      <x:c r="H112" s="16" t="n">
        <x:v>5</x:v>
      </x:c>
      <x:c r="I112" s="14" t="str">
        <x:v>200W, 400W, 600W, 800W, 1000W 등 출력을 조절할수 있어 좋은것 같습니다 
디자인도 좋아요</x:v>
      </x:c>
      <x:c r="J112" s="14" t="str">
        <x:v>https://www.lge.co.kr/mkt/review/MD09144829/pdpReviewListPopup</x:v>
      </x:c>
      <x:c r="K112" s="14" t="str">
        <x:v>#divReviewList &gt; li[data-review-id="45725"] .message</x:v>
      </x:c>
      <x:c r="L112" s="14"/>
      <x:c r="M112" s="14" t="str">
        <x:v>29ffa8a00f8edaef8835b03d41a8fcbf8e4354ee870d8ff76fa93576c54cf298</x:v>
      </x:c>
      <x:c r="N112" s="17" t="b">
        <x:v>0</x:v>
      </x:c>
      <x:c r="O112" s="14" t="str">
        <x:v>LGE-R5-GROUP-45725</x:v>
      </x:c>
      <x:c r="P112" s="14" t="n">
        <x:v>46302.05821711806</x:v>
      </x:c>
      <x:c r="Q112" s="14" t="str"/>
      <x:c r="R112" s="17" t="b">
        <x:v>0</x:v>
      </x:c>
      <x:c r="S112" s="14" t="str">
        <x:v>fixed18</x:v>
      </x:c>
    </x:row>
    <x:row r="113" ht="129" customHeight="1">
      <x:c r="A113" s="14" t="str">
        <x:v>19349</x:v>
      </x:c>
      <x:c r="B113" s="14" t="str">
        <x:v>microwave</x:v>
      </x:c>
      <x:c r="C113" s="14" t="str">
        <x:v>MWJ25E</x:v>
      </x:c>
      <x:c r="D113" s="18"/>
      <x:c r="E113" s="14" t="str">
        <x:v>development</x:v>
      </x:c>
      <x:c r="F113" s="15" t="n">
        <x:v>45042</x:v>
      </x:c>
      <x:c r="G113" s="18"/>
      <x:c r="H113" s="16" t="n">
        <x:v>5</x:v>
      </x:c>
      <x:c r="I113" s="14" t="str">
        <x:v>20년 넘게 타제품을 사용했는데 고장 나서 미루고 미루다 이 전자레인지를 구매해서 잘 사용하고 있습니다. 아무리 찾아봐도 제가 원하는 디자인이 없었는데 lg 오브제 컬렉션 전자레인지는 손잡이가 튀어나와 있지 않아서 공간도 덜 차지해 보이고 색상도 베이직해서 어느 인테리어든 잘 어울릴 거라는 생각이 들었고, 문 여닫을 때도 큰 힘이 없어도 쉽게 이용할 수 있고 작동하는 소리도 크지 않아서 좋았습니다. 또한, 음식이나 용기 등의 kg에 따라 조절하거나 W도 조절하여 사용할 수 있어서 좋았습니다. 물론 시중에 다른 제품들도 이런 성능을 가지고 있을 수도 있고 그 부분은 확인한 게 따로 없어 큰 차이점이 없을지도 모르지만, 제가 가장 원했던 기능 중 하나인 전자레인지가 작동할 때 전자레인지 내부가 잘 보인다는 것입니다. 둘러봤던 다른 제품들은 빛이 안 들어와서 내부가 안 보였는데 이 전자레인지는 빛이 들어와 바로바로 눈으로 확인할 수 있어서 이 점이 너무너무 좋았습니다. 앞으로도 고장날 때까지 잘 사용해 보려고 합니다!!!</x:v>
      </x:c>
      <x:c r="J113" s="14" t="str">
        <x:v>https://www.lge.co.kr/mkt/review/MD09144829/pdpReviewListPopup</x:v>
      </x:c>
      <x:c r="K113" s="14" t="str">
        <x:v>#divReviewList &gt; li[data-review-id="19349"] .message</x:v>
      </x:c>
      <x:c r="L113" s="14"/>
      <x:c r="M113" s="14" t="str">
        <x:v>e22cc2028790b0f9e12543876ead8d6dc73975342649e6fd0b53f9b70de6dca9</x:v>
      </x:c>
      <x:c r="N113" s="17" t="b">
        <x:v>0</x:v>
      </x:c>
      <x:c r="O113" s="14" t="str">
        <x:v>LGE-R5-GROUP-19349</x:v>
      </x:c>
      <x:c r="P113" s="14" t="n">
        <x:v>46302.05821711806</x:v>
      </x:c>
      <x:c r="Q113" s="14" t="str"/>
      <x:c r="R113" s="17" t="b">
        <x:v>0</x:v>
      </x:c>
      <x:c r="S113" s="14" t="str">
        <x:v>fixed18</x:v>
      </x:c>
    </x:row>
    <x:row r="114" ht="54" customHeight="1">
      <x:c r="A114" s="14" t="str">
        <x:v>673773</x:v>
      </x:c>
      <x:c r="B114" s="14" t="str">
        <x:v>microwave</x:v>
      </x:c>
      <x:c r="C114" s="14" t="str">
        <x:v>MWE25HD</x:v>
      </x:c>
      <x:c r="D114" s="18"/>
      <x:c r="E114" s="14" t="str">
        <x:v>independent_evaluation</x:v>
      </x:c>
      <x:c r="F114" s="15" t="n">
        <x:v>46102</x:v>
      </x:c>
      <x:c r="G114" s="18"/>
      <x:c r="H114" s="16" t="n">
        <x:v>5</x:v>
      </x:c>
      <x:c r="I114" s="14" t="str">
        <x:v>조금 안이 넓은 전자레인지 구매하려고 보다가 신제품이고 디자이닝 이뻐서 구매해봤습니다. 쉽게 조작도 가능하고 좋은점이 푸시버튼 도어라 너무 편합니다. 
전체가 화이트라 디자인도 좋고 만족합니다</x:v>
      </x:c>
      <x:c r="J114" s="14" t="str">
        <x:v>https://www.lge.co.kr/mkt/review/MD10739828/pdpReviewListPopup</x:v>
      </x:c>
      <x:c r="K114" s="14" t="str">
        <x:v>#divReviewList &gt; li[data-review-id="673773"] .message</x:v>
      </x:c>
      <x:c r="L114" s="14"/>
      <x:c r="M114" s="14" t="str">
        <x:v>033ec7dcf9e03e47c0c163d86c8cc1e0b2614f9f91146dd4283795e2535edc3a</x:v>
      </x:c>
      <x:c r="N114" s="17" t="b">
        <x:v>0</x:v>
      </x:c>
      <x:c r="O114" s="14" t="str">
        <x:v>LGE-R5-GROUP-673773</x:v>
      </x:c>
      <x:c r="P114" s="14" t="n">
        <x:v>46302.058234282405</x:v>
      </x:c>
      <x:c r="Q114" s="14" t="str"/>
      <x:c r="R114" s="17" t="b">
        <x:v>0</x:v>
      </x:c>
      <x:c r="S114" s="14" t="str">
        <x:v>fixed18</x:v>
      </x:c>
    </x:row>
    <x:row r="115" ht="48" customHeight="1">
      <x:c r="A115" s="14" t="str">
        <x:v>858029</x:v>
      </x:c>
      <x:c r="B115" s="14" t="str">
        <x:v>microwave</x:v>
      </x:c>
      <x:c r="C115" s="14" t="str">
        <x:v>MWE25HD</x:v>
      </x:c>
      <x:c r="D115" s="18"/>
      <x:c r="E115" s="14" t="str">
        <x:v>development</x:v>
      </x:c>
      <x:c r="F115" s="15" t="n">
        <x:v>46297</x:v>
      </x:c>
      <x:c r="G115" s="18"/>
      <x:c r="H115" s="16" t="n">
        <x:v>5</x:v>
      </x:c>
      <x:c r="I115" s="14" t="str">
        <x:v>디자인이 깔끔하네요 또한 사용하기 편리해서 좋은거 같아요</x:v>
      </x:c>
      <x:c r="J115" s="14" t="str">
        <x:v>https://www.lge.co.kr/mkt/review/MD10739828/pdpReviewListPopup</x:v>
      </x:c>
      <x:c r="K115" s="14" t="str">
        <x:v>#divReviewList &gt; li[data-review-id="858029"] .message</x:v>
      </x:c>
      <x:c r="L115" s="14"/>
      <x:c r="M115" s="14" t="str">
        <x:v>13a8c4d493e3d7d9e76b2c339ba41be4320dad4ba4576ee0ac7c1406c7e5689d</x:v>
      </x:c>
      <x:c r="N115" s="17" t="b">
        <x:v>0</x:v>
      </x:c>
      <x:c r="O115" s="14" t="str">
        <x:v>LGE-R5-GROUP-858029</x:v>
      </x:c>
      <x:c r="P115" s="14" t="n">
        <x:v>46302.058234282405</x:v>
      </x:c>
      <x:c r="Q115" s="14" t="str"/>
      <x:c r="R115" s="17" t="b">
        <x:v>0</x:v>
      </x:c>
      <x:c r="S115" s="14" t="str">
        <x:v>fixed18</x:v>
      </x:c>
    </x:row>
    <x:row r="116" ht="48" customHeight="1">
      <x:c r="A116" s="14" t="str">
        <x:v>853726</x:v>
      </x:c>
      <x:c r="B116" s="14" t="str">
        <x:v>microwave</x:v>
      </x:c>
      <x:c r="C116" s="14" t="str">
        <x:v>MWE25HD</x:v>
      </x:c>
      <x:c r="D116" s="18"/>
      <x:c r="E116" s="14" t="str">
        <x:v>development</x:v>
      </x:c>
      <x:c r="F116" s="15" t="n">
        <x:v>46292</x:v>
      </x:c>
      <x:c r="G116" s="18"/>
      <x:c r="H116" s="16" t="n">
        <x:v>5</x:v>
      </x:c>
      <x:c r="I116" s="14" t="str">
        <x:v>디자인도 깔끔하고 예뻐요.
다만 광파오븐렌지 사용하디 바꿔서, 온도 조절에 적응시간 걸리네요.</x:v>
      </x:c>
      <x:c r="J116" s="14" t="str">
        <x:v>https://www.lge.co.kr/mkt/review/MD10739828/pdpReviewListPopup</x:v>
      </x:c>
      <x:c r="K116" s="14" t="str">
        <x:v>#divReviewList &gt; li[data-review-id="853726"] .message</x:v>
      </x:c>
      <x:c r="L116" s="14"/>
      <x:c r="M116" s="14" t="str">
        <x:v>5b4640aa65831aab2d3cb84ea2fd572103a8a10b4e326ec92b56b0625bb515b0</x:v>
      </x:c>
      <x:c r="N116" s="17" t="b">
        <x:v>0</x:v>
      </x:c>
      <x:c r="O116" s="14" t="str">
        <x:v>LGE-R5-GROUP-853726</x:v>
      </x:c>
      <x:c r="P116" s="14" t="n">
        <x:v>46302.058234282405</x:v>
      </x:c>
      <x:c r="Q116" s="14" t="str"/>
      <x:c r="R116" s="17" t="b">
        <x:v>0</x:v>
      </x:c>
      <x:c r="S116" s="14" t="str">
        <x:v>fixed18</x:v>
      </x:c>
    </x:row>
    <x:row r="117" ht="48" customHeight="1">
      <x:c r="A117" s="14" t="str">
        <x:v>853556</x:v>
      </x:c>
      <x:c r="B117" s="14" t="str">
        <x:v>microwave</x:v>
      </x:c>
      <x:c r="C117" s="14" t="str">
        <x:v>MWE25HD</x:v>
      </x:c>
      <x:c r="D117" s="18"/>
      <x:c r="E117" s="14" t="str">
        <x:v>development</x:v>
      </x:c>
      <x:c r="F117" s="15" t="n">
        <x:v>46292</x:v>
      </x:c>
      <x:c r="G117" s="18"/>
      <x:c r="H117" s="16" t="n">
        <x:v>5</x:v>
      </x:c>
      <x:c r="I117" s="14" t="str">
        <x:v>뜻하지 않게 구매하게 되었는데 디자인도 깔끔하고 사용하기도 편리하네요. 출력 조절이 가능해서 더 좋네요.</x:v>
      </x:c>
      <x:c r="J117" s="14" t="str">
        <x:v>https://www.lge.co.kr/mkt/review/MD10739828/pdpReviewListPopup</x:v>
      </x:c>
      <x:c r="K117" s="14" t="str">
        <x:v>#divReviewList &gt; li[data-review-id="853556"] .message</x:v>
      </x:c>
      <x:c r="L117" s="14"/>
      <x:c r="M117" s="14" t="str">
        <x:v>17646581f9cc320e4f24667b38bd5cff882cea9d0f3397fa6711dd913f5503bd</x:v>
      </x:c>
      <x:c r="N117" s="17" t="b">
        <x:v>0</x:v>
      </x:c>
      <x:c r="O117" s="14" t="str">
        <x:v>LGE-R5-GROUP-853556</x:v>
      </x:c>
      <x:c r="P117" s="14" t="n">
        <x:v>46302.058234282405</x:v>
      </x:c>
      <x:c r="Q117" s="14" t="str"/>
      <x:c r="R117" s="17" t="b">
        <x:v>0</x:v>
      </x:c>
      <x:c r="S117" s="14" t="str">
        <x:v>fixed18</x:v>
      </x:c>
    </x:row>
    <x:row r="118" ht="48" customHeight="1">
      <x:c r="A118" s="14" t="str">
        <x:v>852111</x:v>
      </x:c>
      <x:c r="B118" s="14" t="str">
        <x:v>microwave</x:v>
      </x:c>
      <x:c r="C118" s="14" t="str">
        <x:v>MWE25HD</x:v>
      </x:c>
      <x:c r="D118" s="18"/>
      <x:c r="E118" s="14" t="str">
        <x:v>independent_evaluation</x:v>
      </x:c>
      <x:c r="F118" s="15" t="n">
        <x:v>46289</x:v>
      </x:c>
      <x:c r="G118" s="18"/>
      <x:c r="H118" s="16" t="n">
        <x:v>5</x:v>
      </x:c>
      <x:c r="I118" s="14" t="str">
        <x:v>조용하고 사용도 편리하지만 디자인이  심플해서 기존 제품들과 잘 어울려서 좋아요</x:v>
      </x:c>
      <x:c r="J118" s="14" t="str">
        <x:v>https://www.lge.co.kr/mkt/review/MD10739828/pdpReviewListPopup</x:v>
      </x:c>
      <x:c r="K118" s="14" t="str">
        <x:v>#divReviewList &gt; li[data-review-id="852111"] .message</x:v>
      </x:c>
      <x:c r="L118" s="14"/>
      <x:c r="M118" s="14" t="str">
        <x:v>5d31b690977c06f5cf4d4988d4d3fb85e2bed48cbda98ca3eb761dabe1a1e4a2</x:v>
      </x:c>
      <x:c r="N118" s="17" t="b">
        <x:v>0</x:v>
      </x:c>
      <x:c r="O118" s="14" t="str">
        <x:v>LGE-R5-GROUP-852111</x:v>
      </x:c>
      <x:c r="P118" s="14" t="n">
        <x:v>46302.058234282405</x:v>
      </x:c>
      <x:c r="Q118" s="14" t="str"/>
      <x:c r="R118" s="17" t="b">
        <x:v>0</x:v>
      </x:c>
      <x:c r="S118" s="14" t="str">
        <x:v>fixed18</x:v>
      </x:c>
    </x:row>
    <x:row r="119" ht="48" customHeight="1">
      <x:c r="A119" s="14" t="str">
        <x:v>850388</x:v>
      </x:c>
      <x:c r="B119" s="14" t="str">
        <x:v>microwave</x:v>
      </x:c>
      <x:c r="C119" s="14" t="str">
        <x:v>MWE25HD</x:v>
      </x:c>
      <x:c r="D119" s="18"/>
      <x:c r="E119" s="14" t="str">
        <x:v>development</x:v>
      </x:c>
      <x:c r="F119" s="15" t="n">
        <x:v>46287</x:v>
      </x:c>
      <x:c r="G119" s="18"/>
      <x:c r="H119" s="16" t="n">
        <x:v>5</x:v>
      </x:c>
      <x:c r="I119" s="14" t="str">
        <x:v>전자레인지 솔직히 성능은 체감하기 어렵다고 생각합니다
다만 디자인은 압도적이네요</x:v>
      </x:c>
      <x:c r="J119" s="14" t="str">
        <x:v>https://www.lge.co.kr/mkt/review/MD10739828/pdpReviewListPopup</x:v>
      </x:c>
      <x:c r="K119" s="14" t="str">
        <x:v>#divReviewList &gt; li[data-review-id="850388"] .message</x:v>
      </x:c>
      <x:c r="L119" s="14"/>
      <x:c r="M119" s="14" t="str">
        <x:v>dd6b685f67ef99f73500f17eebcb9904174925d907c74d481ed1d4a0ff25accc</x:v>
      </x:c>
      <x:c r="N119" s="17" t="b">
        <x:v>0</x:v>
      </x:c>
      <x:c r="O119" s="14" t="str">
        <x:v>LGE-R5-GROUP-850388</x:v>
      </x:c>
      <x:c r="P119" s="14" t="n">
        <x:v>46302.058234282405</x:v>
      </x:c>
      <x:c r="Q119" s="14" t="str"/>
      <x:c r="R119" s="17" t="b">
        <x:v>0</x:v>
      </x:c>
      <x:c r="S119" s="14" t="str">
        <x:v>fixed18</x:v>
      </x:c>
    </x:row>
    <x:row r="120" ht="48" customHeight="1">
      <x:c r="A120" s="14" t="str">
        <x:v>850204</x:v>
      </x:c>
      <x:c r="B120" s="14" t="str">
        <x:v>microwave</x:v>
      </x:c>
      <x:c r="C120" s="14" t="str">
        <x:v>MWE25HD</x:v>
      </x:c>
      <x:c r="D120" s="18"/>
      <x:c r="E120" s="14" t="str">
        <x:v>demonstration</x:v>
      </x:c>
      <x:c r="F120" s="15" t="n">
        <x:v>46286</x:v>
      </x:c>
      <x:c r="G120" s="18"/>
      <x:c r="H120" s="16" t="n">
        <x:v>5</x:v>
      </x:c>
      <x:c r="I120" s="14" t="str">
        <x:v>디자인이 깔끔하니좋네요 소음도 적어서 좋습니다
앞으로 사용감이 기대되네요</x:v>
      </x:c>
      <x:c r="J120" s="14" t="str">
        <x:v>https://www.lge.co.kr/mkt/review/MD10739828/pdpReviewListPopup</x:v>
      </x:c>
      <x:c r="K120" s="14" t="str">
        <x:v>#divReviewList &gt; li[data-review-id="850204"] .message</x:v>
      </x:c>
      <x:c r="L120" s="14"/>
      <x:c r="M120" s="14" t="str">
        <x:v>1f53ac62a8cd7ebb613d20ce38fb3459afa78f709885330be143692773f2bdaf</x:v>
      </x:c>
      <x:c r="N120" s="17" t="b">
        <x:v>0</x:v>
      </x:c>
      <x:c r="O120" s="14" t="str">
        <x:v>LGE-R5-GROUP-850204</x:v>
      </x:c>
      <x:c r="P120" s="14" t="n">
        <x:v>46302.058234282405</x:v>
      </x:c>
      <x:c r="Q120" s="14" t="str"/>
      <x:c r="R120" s="17" t="b">
        <x:v>0</x:v>
      </x:c>
      <x:c r="S120" s="14" t="str">
        <x:v>fixed18</x:v>
      </x:c>
    </x:row>
    <x:row r="121" ht="48" customHeight="1">
      <x:c r="A121" s="14" t="str">
        <x:v>840799</x:v>
      </x:c>
      <x:c r="B121" s="14" t="str">
        <x:v>microwave</x:v>
      </x:c>
      <x:c r="C121" s="14" t="str">
        <x:v>MWE25HD</x:v>
      </x:c>
      <x:c r="D121" s="18"/>
      <x:c r="E121" s="14" t="str">
        <x:v>development</x:v>
      </x:c>
      <x:c r="F121" s="15" t="n">
        <x:v>46274</x:v>
      </x:c>
      <x:c r="G121" s="18"/>
      <x:c r="H121" s="16" t="n">
        <x:v>5</x:v>
      </x:c>
      <x:c r="I121" s="14" t="str">
        <x:v>이미 오븐이 있어서 전자레인지 기능만 충실한 제품을 보고 있었는데....디자인들이 아쉬워서 광파오븐까지 고민했다가 이 제품보고 바로 구매했습니다.</x:v>
      </x:c>
      <x:c r="J121" s="14" t="str">
        <x:v>https://www.lge.co.kr/mkt/review/MD10739828/pdpReviewListPopup</x:v>
      </x:c>
      <x:c r="K121" s="14" t="str">
        <x:v>#divReviewList &gt; li[data-review-id="840799"] .message</x:v>
      </x:c>
      <x:c r="L121" s="14"/>
      <x:c r="M121" s="14" t="str">
        <x:v>b4992596199f9f41fd7108b1ed5bd099e29bdd255d9e5884aa31d9b837a27cee</x:v>
      </x:c>
      <x:c r="N121" s="17" t="b">
        <x:v>0</x:v>
      </x:c>
      <x:c r="O121" s="14" t="str">
        <x:v>LGE-R5-GROUP-840799</x:v>
      </x:c>
      <x:c r="P121" s="14" t="n">
        <x:v>46302.058234282405</x:v>
      </x:c>
      <x:c r="Q121" s="14" t="str"/>
      <x:c r="R121" s="17" t="b">
        <x:v>0</x:v>
      </x:c>
      <x:c r="S121" s="14" t="str">
        <x:v>fixed18</x:v>
      </x:c>
    </x:row>
    <x:row r="122" ht="48" customHeight="1">
      <x:c r="A122" s="14" t="str">
        <x:v>838130</x:v>
      </x:c>
      <x:c r="B122" s="14" t="str">
        <x:v>microwave</x:v>
      </x:c>
      <x:c r="C122" s="14" t="str">
        <x:v>MWE25HD</x:v>
      </x:c>
      <x:c r="D122" s="18"/>
      <x:c r="E122" s="14" t="str">
        <x:v>demonstration</x:v>
      </x:c>
      <x:c r="F122" s="15" t="n">
        <x:v>46271</x:v>
      </x:c>
      <x:c r="G122" s="18"/>
      <x:c r="H122" s="16" t="n">
        <x:v>5</x:v>
      </x:c>
      <x:c r="I122" s="14" t="str">
        <x:v>디자인이 너무 이쁩니다. 자동데우기 기능이 있어서 편리하구 내부가 넓어서 활용도가 높네요...</x:v>
      </x:c>
      <x:c r="J122" s="14" t="str">
        <x:v>https://www.lge.co.kr/mkt/review/MD10739828/pdpReviewListPopup</x:v>
      </x:c>
      <x:c r="K122" s="14" t="str">
        <x:v>#divReviewList &gt; li[data-review-id="838130"] .message</x:v>
      </x:c>
      <x:c r="L122" s="14"/>
      <x:c r="M122" s="14" t="str">
        <x:v>c0ff1849b79fe0b8c2d0a0e9182dfb20b4f7788c0c50200c97b033516949df86</x:v>
      </x:c>
      <x:c r="N122" s="17" t="b">
        <x:v>0</x:v>
      </x:c>
      <x:c r="O122" s="14" t="str">
        <x:v>LGE-R5-GROUP-838130</x:v>
      </x:c>
      <x:c r="P122" s="14" t="n">
        <x:v>46302.058234282405</x:v>
      </x:c>
      <x:c r="Q122" s="14" t="str"/>
      <x:c r="R122" s="17" t="b">
        <x:v>0</x:v>
      </x:c>
      <x:c r="S122" s="14" t="str">
        <x:v>fixed18</x:v>
      </x:c>
    </x:row>
    <x:row r="123" ht="54" customHeight="1">
      <x:c r="A123" s="14" t="str">
        <x:v>819828</x:v>
      </x:c>
      <x:c r="B123" s="14" t="str">
        <x:v>microwave</x:v>
      </x:c>
      <x:c r="C123" s="14" t="str">
        <x:v>MWE25HD</x:v>
      </x:c>
      <x:c r="D123" s="18"/>
      <x:c r="E123" s="14" t="str">
        <x:v>demonstration</x:v>
      </x:c>
      <x:c r="F123" s="15" t="n">
        <x:v>46248</x:v>
      </x:c>
      <x:c r="G123" s="18"/>
      <x:c r="H123" s="16" t="n">
        <x:v>5</x:v>
      </x:c>
      <x:c r="I123" s="14" t="str">
        <x:v>이전 제품도 20년 넘게 잘사용했는데 고장이나서 급하게 구매합니다
매일 사용하는 제품이다 보니 선택에 많이 고민됐는데 당기지 않고 눌러서 열리는 방법이 잘 선택한거 같습니다
기존보다 조용해서 좋아요</x:v>
      </x:c>
      <x:c r="J123" s="14" t="str">
        <x:v>https://www.lge.co.kr/mkt/review/MD10739828/pdpReviewListPopup</x:v>
      </x:c>
      <x:c r="K123" s="14" t="str">
        <x:v>#divReviewList &gt; li[data-review-id="819828"] .message</x:v>
      </x:c>
      <x:c r="L123" s="14"/>
      <x:c r="M123" s="14" t="str">
        <x:v>9ecf6c76d53163af3222ebeedd2983ca4c0de6312fe6df4db23dc8412d3ca432</x:v>
      </x:c>
      <x:c r="N123" s="17" t="b">
        <x:v>0</x:v>
      </x:c>
      <x:c r="O123" s="14" t="str">
        <x:v>LGE-R5-GROUP-819828</x:v>
      </x:c>
      <x:c r="P123" s="14" t="n">
        <x:v>46302.058234282405</x:v>
      </x:c>
      <x:c r="Q123" s="14" t="str"/>
      <x:c r="R123" s="17" t="b">
        <x:v>0</x:v>
      </x:c>
      <x:c r="S123" s="14" t="str">
        <x:v>fixed18</x:v>
      </x:c>
    </x:row>
    <x:row r="124" ht="48" customHeight="1">
      <x:c r="A124" s="14" t="str">
        <x:v>855426</x:v>
      </x:c>
      <x:c r="B124" s="14" t="str">
        <x:v>dishwasher</x:v>
      </x:c>
      <x:c r="C124" s="14" t="str">
        <x:v>DUE6BGL2E</x:v>
      </x:c>
      <x:c r="D124" s="18"/>
      <x:c r="E124" s="14" t="str">
        <x:v>independent_evaluation</x:v>
      </x:c>
      <x:c r="F124" s="15" t="n">
        <x:v>46294</x:v>
      </x:c>
      <x:c r="G124" s="18"/>
      <x:c r="H124" s="16" t="n">
        <x:v>5</x:v>
      </x:c>
      <x:c r="I124" s="14" t="str">
        <x:v>식세기.. 고민했어요. 저희집 주방공간이 좁아서 설치할수 있을까.. 👍 👍  인덕션과 직렬로 깔맞춤!!
성능은 기본이죠. 식세기는 LG이고 구독하세요^^</x:v>
      </x:c>
      <x:c r="J124" s="14" t="str">
        <x:v>https://www.lge.co.kr/mkt/review/MD10492836/pdpReviewListPopup</x:v>
      </x:c>
      <x:c r="K124" s="14" t="str">
        <x:v>#divReviewList &gt; li[data-review-id="855426"] .message</x:v>
      </x:c>
      <x:c r="L124" s="14" t="str">
        <x:v>MFL71959117 Rev.07_030626</x:v>
      </x:c>
      <x:c r="M124" s="14" t="str">
        <x:v>4ea4df1315900e84fbe88c34232fa0804cc6cf6a470e671ba179826cda725ea2</x:v>
      </x:c>
      <x:c r="N124" s="17" t="b">
        <x:v>0</x:v>
      </x:c>
      <x:c r="O124" s="14" t="str">
        <x:v>LGE-R5-GROUP-855426</x:v>
      </x:c>
      <x:c r="P124" s="14" t="n">
        <x:v>46302.048562083335</x:v>
      </x:c>
      <x:c r="Q124" s="14" t="str"/>
      <x:c r="R124" s="17" t="b">
        <x:v>0</x:v>
      </x:c>
      <x:c r="S124" s="14" t="str">
        <x:v>fixed18</x:v>
      </x:c>
    </x:row>
    <x:row r="125" ht="48" customHeight="1">
      <x:c r="A125" s="14" t="str">
        <x:v>800398</x:v>
      </x:c>
      <x:c r="B125" s="14" t="str">
        <x:v>dishwasher</x:v>
      </x:c>
      <x:c r="C125" s="14" t="str">
        <x:v>DUE6BGL2E</x:v>
      </x:c>
      <x:c r="D125" s="18"/>
      <x:c r="E125" s="14" t="str">
        <x:v>quarantine</x:v>
      </x:c>
      <x:c r="F125" s="15" t="n">
        <x:v>46229</x:v>
      </x:c>
      <x:c r="G125" s="18"/>
      <x:c r="H125" s="16" t="n">
        <x:v>5</x:v>
      </x:c>
      <x:c r="I125" s="14" t="str">
        <x:v>하이라이트 사용하다가 넘어왔는데 화력도 좋고 앱에서도 확인가능하니 좋습니다</x:v>
      </x:c>
      <x:c r="J125" s="14" t="str">
        <x:v>https://www.lge.co.kr/mkt/review/MD10492836/pdpReviewListPopup</x:v>
      </x:c>
      <x:c r="K125" s="14" t="str">
        <x:v>#divReviewList &gt; li[data-review-id="800398"] .message</x:v>
      </x:c>
      <x:c r="L125" s="14" t="str">
        <x:v>MFL71959117 Rev.07_030626</x:v>
      </x:c>
      <x:c r="M125" s="14" t="str">
        <x:v>a3aa3cf6e4e9f33c523ceb558235c31518b6ab429e9470404797dc837e969279</x:v>
      </x:c>
      <x:c r="N125" s="17" t="b">
        <x:v>0</x:v>
      </x:c>
      <x:c r="O125" s="14" t="str">
        <x:v>LGE-R5-GROUP-800398</x:v>
      </x:c>
      <x:c r="P125" s="14" t="n">
        <x:v>46302.048562083335</x:v>
      </x:c>
      <x:c r="Q125" s="14" t="str">
        <x:v>other_product_category_text</x:v>
      </x:c>
      <x:c r="R125" s="17" t="b">
        <x:v>0</x:v>
      </x:c>
      <x:c r="S125" s="14" t="str">
        <x:v>fixed18</x:v>
      </x:c>
    </x:row>
    <x:row r="126" ht="48" customHeight="1">
      <x:c r="A126" s="14" t="str">
        <x:v>776453</x:v>
      </x:c>
      <x:c r="B126" s="14" t="str">
        <x:v>dishwasher</x:v>
      </x:c>
      <x:c r="C126" s="14" t="str">
        <x:v>DUE6BGL2E</x:v>
      </x:c>
      <x:c r="D126" s="18"/>
      <x:c r="E126" s="14" t="str">
        <x:v>demonstration</x:v>
      </x:c>
      <x:c r="F126" s="15" t="n">
        <x:v>46207</x:v>
      </x:c>
      <x:c r="G126" s="18"/>
      <x:c r="H126" s="16" t="n">
        <x:v>5</x:v>
      </x:c>
      <x:c r="I126" s="14" t="str">
        <x:v>이사오면서 식세기 구입 안하다고 있다가 드디어 구매 설치 완료 하였습니다 !!!! :) 너무 너무 좋아요 ~~~~ 앞으로 잘 사용했으면 좋겠어요 ^^</x:v>
      </x:c>
      <x:c r="J126" s="14" t="str">
        <x:v>https://www.lge.co.kr/mkt/review/MD10492836/pdpReviewListPopup</x:v>
      </x:c>
      <x:c r="K126" s="14" t="str">
        <x:v>#divReviewList &gt; li[data-review-id="776453"] .message</x:v>
      </x:c>
      <x:c r="L126" s="14" t="str">
        <x:v>MFL71959117 Rev.07_030626</x:v>
      </x:c>
      <x:c r="M126" s="14" t="str">
        <x:v>f69e27cca38b6a92faa6ca513b278af8019d251b54cd227f9ee5a6283945b155</x:v>
      </x:c>
      <x:c r="N126" s="17" t="b">
        <x:v>0</x:v>
      </x:c>
      <x:c r="O126" s="14" t="str">
        <x:v>LGE-R5-GROUP-776453</x:v>
      </x:c>
      <x:c r="P126" s="14" t="n">
        <x:v>46302.048562083335</x:v>
      </x:c>
      <x:c r="Q126" s="14" t="str"/>
      <x:c r="R126" s="17" t="b">
        <x:v>0</x:v>
      </x:c>
      <x:c r="S126" s="14" t="str">
        <x:v>fixed18</x:v>
      </x:c>
    </x:row>
    <x:row r="127" ht="144" customHeight="1">
      <x:c r="A127" s="14" t="str">
        <x:v>773921</x:v>
      </x:c>
      <x:c r="B127" s="14" t="str">
        <x:v>dishwasher</x:v>
      </x:c>
      <x:c r="C127" s="14" t="str">
        <x:v>DUE6BGL2E</x:v>
      </x:c>
      <x:c r="D127" s="18"/>
      <x:c r="E127" s="14" t="str">
        <x:v>independent_evaluation</x:v>
      </x:c>
      <x:c r="F127" s="15" t="n">
        <x:v>46205</x:v>
      </x:c>
      <x:c r="G127" s="18"/>
      <x:c r="H127" s="16" t="n">
        <x:v>5</x:v>
      </x:c>
      <x:c r="I127" s="14" t="str">
        <x:v>LG 디오스 오브제컬렉션 식기세척기는 단순히 설거지를 대신해 주는 기계를 넘어, 저에게 '저녁 시간의 여유'와 '휴식'을 선물해 준 최고의 가전입니다.
예전에는 맛있는 저녁을 먹고 나서도 싱크대에 쌓인 설거지더미를 보며 한숨 쉬고, 허리 아프게 서서 30분 넘게 고된 가사 노동을 해야 했습니다. 하지만 지금은 식사 후 그릇들을 식세기에 척척 넣고 버튼 하나만 누르면 끝입니다. 그 정돈된 주방을 뒤로하고 소파에 기대어 남편과 따뜻한 차 한 잔을 마시거나, 좋아하는 OTT 영상을 보며 온전한 힐링 시간을 가집니다.!
가사 노동의 강도를 획기적으로 줄여주고 삶의 밸런스를 찾아주는 제품인 만큼, 투자한 금액 그 이상의 가치를 매일 톡톡히 누리고 있습니다. 주방 가전 중 단 하나만 추천하라고 한다면 저는 주저 없이 이 제품을 꼽을 것입니다. 망설임은 배송만 늦출 뿐, 나를 위한 최고의 선물로 꼭 들여놓으시길 바랍니다!</x:v>
      </x:c>
      <x:c r="J127" s="14" t="str">
        <x:v>https://www.lge.co.kr/mkt/review/MD10492836/pdpReviewListPopup</x:v>
      </x:c>
      <x:c r="K127" s="14" t="str">
        <x:v>#divReviewList &gt; li[data-review-id="773921"] .message</x:v>
      </x:c>
      <x:c r="L127" s="14" t="str">
        <x:v>MFL71959117 Rev.07_030626</x:v>
      </x:c>
      <x:c r="M127" s="14" t="str">
        <x:v>5e4241c7f2a7acfc6cafe08107533d4b35faec3b35b23cb711ed752306ae0f6a</x:v>
      </x:c>
      <x:c r="N127" s="17" t="b">
        <x:v>0</x:v>
      </x:c>
      <x:c r="O127" s="14" t="str">
        <x:v>LGE-R5-GROUP-773921</x:v>
      </x:c>
      <x:c r="P127" s="14" t="n">
        <x:v>46302.048562083335</x:v>
      </x:c>
      <x:c r="Q127" s="14" t="str"/>
      <x:c r="R127" s="17" t="b">
        <x:v>0</x:v>
      </x:c>
      <x:c r="S127" s="14" t="str">
        <x:v>fixed18</x:v>
      </x:c>
    </x:row>
    <x:row r="128" ht="48" customHeight="1">
      <x:c r="A128" s="14" t="str">
        <x:v>767844</x:v>
      </x:c>
      <x:c r="B128" s="14" t="str">
        <x:v>dishwasher</x:v>
      </x:c>
      <x:c r="C128" s="14" t="str">
        <x:v>DUE6BGL2E</x:v>
      </x:c>
      <x:c r="D128" s="18"/>
      <x:c r="E128" s="14" t="str">
        <x:v>development</x:v>
      </x:c>
      <x:c r="F128" s="15" t="n">
        <x:v>46199</x:v>
      </x:c>
      <x:c r="G128" s="18"/>
      <x:c r="H128" s="16" t="n">
        <x:v>5</x:v>
      </x:c>
      <x:c r="I128" s="14" t="str">
        <x:v>양도 많이 들어가고 스팀건조까지 되어 너무 좋네요 저녁시간이 편해졌습니다</x:v>
      </x:c>
      <x:c r="J128" s="14" t="str">
        <x:v>https://www.lge.co.kr/mkt/review/MD10492836/pdpReviewListPopup</x:v>
      </x:c>
      <x:c r="K128" s="14" t="str">
        <x:v>#divReviewList &gt; li[data-review-id="767844"] .message</x:v>
      </x:c>
      <x:c r="L128" s="14" t="str">
        <x:v>MFL71959117 Rev.07_030626</x:v>
      </x:c>
      <x:c r="M128" s="14" t="str">
        <x:v>b3bb2a74cb41fda9eea6d49add53765facee570c1a6f6a68b2f9072edab2ca4f</x:v>
      </x:c>
      <x:c r="N128" s="17" t="b">
        <x:v>0</x:v>
      </x:c>
      <x:c r="O128" s="14" t="str">
        <x:v>LGE-R5-GROUP-767844</x:v>
      </x:c>
      <x:c r="P128" s="14" t="n">
        <x:v>46302.048562083335</x:v>
      </x:c>
      <x:c r="Q128" s="14" t="str"/>
      <x:c r="R128" s="17" t="b">
        <x:v>0</x:v>
      </x:c>
      <x:c r="S128" s="14" t="str">
        <x:v>fixed18</x:v>
      </x:c>
    </x:row>
    <x:row r="129" ht="69" customHeight="1">
      <x:c r="A129" s="14" t="str">
        <x:v>691193</x:v>
      </x:c>
      <x:c r="B129" s="14" t="str">
        <x:v>dishwasher</x:v>
      </x:c>
      <x:c r="C129" s="14" t="str">
        <x:v>DUE6BGL2E</x:v>
      </x:c>
      <x:c r="D129" s="18"/>
      <x:c r="E129" s="14" t="str">
        <x:v>development</x:v>
      </x:c>
      <x:c r="F129" s="15" t="n">
        <x:v>46120</x:v>
      </x:c>
      <x:c r="G129" s="18"/>
      <x:c r="H129" s="16" t="n">
        <x:v>5</x:v>
      </x:c>
      <x:c r="I129" s="14" t="str">
        <x:v>신혼 가전인데 편리하게 사용하고 있어요
기름기 있는 그릇이나 컵도 생각보다 깨끗하게 세척되고, 물 얼룩도 적어서 만족합니다. 소음도 심하지 않아 저녁에 돌려도 크게 부담 없고, 손설거지할 때보다 훨씬 편해요. 다만 큰 냄비나 프라이팬은 넣는 방식에 따라 세척력이 조금 달라져서 적재를 잘 해야 합니다. 전체적으로 매우 만족합니다.</x:v>
      </x:c>
      <x:c r="J129" s="14" t="str">
        <x:v>https://www.lge.co.kr/mkt/review/MD10492836/pdpReviewListPopup</x:v>
      </x:c>
      <x:c r="K129" s="14" t="str">
        <x:v>#divReviewList &gt; li[data-review-id="691193"] .message</x:v>
      </x:c>
      <x:c r="L129" s="14" t="str">
        <x:v>MFL71959117 Rev.07_030626</x:v>
      </x:c>
      <x:c r="M129" s="14" t="str">
        <x:v>ad8fc9aeef37f437bee114364ef5b35fc3c5bd57299721a2a5f198aaa6e6b355</x:v>
      </x:c>
      <x:c r="N129" s="17" t="b">
        <x:v>0</x:v>
      </x:c>
      <x:c r="O129" s="14" t="str">
        <x:v>LGE-R5-GROUP-691193</x:v>
      </x:c>
      <x:c r="P129" s="14" t="n">
        <x:v>46302.048562083335</x:v>
      </x:c>
      <x:c r="Q129" s="14" t="str"/>
      <x:c r="R129" s="17" t="b">
        <x:v>0</x:v>
      </x:c>
      <x:c r="S129" s="14" t="str">
        <x:v>fixed18</x:v>
      </x:c>
    </x:row>
    <x:row r="130" ht="48" customHeight="1">
      <x:c r="A130" s="14" t="str">
        <x:v>603892</x:v>
      </x:c>
      <x:c r="B130" s="14" t="str">
        <x:v>dishwasher</x:v>
      </x:c>
      <x:c r="C130" s="14" t="str">
        <x:v>DUE6BGL2E</x:v>
      </x:c>
      <x:c r="D130" s="18"/>
      <x:c r="E130" s="14" t="str">
        <x:v>demonstration</x:v>
      </x:c>
      <x:c r="F130" s="15" t="n">
        <x:v>46032</x:v>
      </x:c>
      <x:c r="G130" s="18"/>
      <x:c r="H130" s="16" t="n">
        <x:v>5</x:v>
      </x:c>
      <x:c r="I130" s="14" t="str">
        <x:v>역시 식세기는 크면 클수록 좋고 LG가 최고입니다.
집 하부장 문이랑 사이즈도 같아서 너무 잘 어울려요</x:v>
      </x:c>
      <x:c r="J130" s="14" t="str">
        <x:v>https://www.lge.co.kr/mkt/review/MD10492836/pdpReviewListPopup</x:v>
      </x:c>
      <x:c r="K130" s="14" t="str">
        <x:v>#divReviewList &gt; li[data-review-id="603892"] .message</x:v>
      </x:c>
      <x:c r="L130" s="14" t="str">
        <x:v>MFL71959117 Rev.07_030626</x:v>
      </x:c>
      <x:c r="M130" s="14" t="str">
        <x:v>7cd3086dfadac1e753522c4e49a8c281bf204a862068d1b1d06186348e62d410</x:v>
      </x:c>
      <x:c r="N130" s="17" t="b">
        <x:v>0</x:v>
      </x:c>
      <x:c r="O130" s="14" t="str">
        <x:v>LGE-R5-GROUP-603892</x:v>
      </x:c>
      <x:c r="P130" s="14" t="n">
        <x:v>46302.048562083335</x:v>
      </x:c>
      <x:c r="Q130" s="14" t="str"/>
      <x:c r="R130" s="17" t="b">
        <x:v>0</x:v>
      </x:c>
      <x:c r="S130" s="14" t="str">
        <x:v>fixed18</x:v>
      </x:c>
    </x:row>
    <x:row r="131" ht="69" customHeight="1">
      <x:c r="A131" s="14" t="str">
        <x:v>599611</x:v>
      </x:c>
      <x:c r="B131" s="14" t="str">
        <x:v>dishwasher</x:v>
      </x:c>
      <x:c r="C131" s="14" t="str">
        <x:v>DUE6BGL2E</x:v>
      </x:c>
      <x:c r="D131" s="18"/>
      <x:c r="E131" s="14" t="str">
        <x:v>independent_evaluation</x:v>
      </x:c>
      <x:c r="F131" s="15" t="n">
        <x:v>46028</x:v>
      </x:c>
      <x:c r="G131" s="18"/>
      <x:c r="H131" s="16" t="n">
        <x:v>5</x:v>
      </x:c>
      <x:c r="I131" s="14" t="str">
        <x:v>오래전부터 식세기를 사용하고 싶었는데 아파트로 이사오면서 구입하게 되었습니다. 많은 제품이 있지만 LG전자 제품이 가장 좋다는 얘기를 듣고 바로 구입했습니다. 소문대로 세척력이 굉장히 뛰어나고 여러 가지 기능이 있어서 편리하게 식세기를 사용할 수 있게 되었습니다. 건조도 빠르고 세척이 다 되면 자동으로 물이 열리면서 열풍으로 건조되는 기능이 너무 좋습니다. 모두에게 추천합니다.</x:v>
      </x:c>
      <x:c r="J131" s="14" t="str">
        <x:v>https://www.lge.co.kr/mkt/review/MD10492836/pdpReviewListPopup</x:v>
      </x:c>
      <x:c r="K131" s="14" t="str">
        <x:v>#divReviewList &gt; li[data-review-id="599611"] .message</x:v>
      </x:c>
      <x:c r="L131" s="14" t="str">
        <x:v>MFL71959117 Rev.07_030626</x:v>
      </x:c>
      <x:c r="M131" s="14" t="str">
        <x:v>c49a1114e4dce8ae55becf60c13380baea06e7e606b98dd78d648ef35276aaec</x:v>
      </x:c>
      <x:c r="N131" s="17" t="b">
        <x:v>0</x:v>
      </x:c>
      <x:c r="O131" s="14" t="str">
        <x:v>LGE-R5-GROUP-599611</x:v>
      </x:c>
      <x:c r="P131" s="14" t="n">
        <x:v>46302.048562083335</x:v>
      </x:c>
      <x:c r="Q131" s="14" t="str"/>
      <x:c r="R131" s="17" t="b">
        <x:v>0</x:v>
      </x:c>
      <x:c r="S131" s="14" t="str">
        <x:v>fixed18</x:v>
      </x:c>
    </x:row>
    <x:row r="132" ht="84" customHeight="1">
      <x:c r="A132" s="14" t="str">
        <x:v>543280</x:v>
      </x:c>
      <x:c r="B132" s="14" t="str">
        <x:v>dishwasher</x:v>
      </x:c>
      <x:c r="C132" s="14" t="str">
        <x:v>DUE6BGL2E</x:v>
      </x:c>
      <x:c r="D132" s="18"/>
      <x:c r="E132" s="14" t="str">
        <x:v>development</x:v>
      </x:c>
      <x:c r="F132" s="15" t="n">
        <x:v>45974</x:v>
      </x:c>
      <x:c r="G132" s="18"/>
      <x:c r="H132" s="16" t="n">
        <x:v>5</x:v>
      </x:c>
      <x:c r="I132" s="14" t="str">
        <x:v>한달정도 사용하고 후기 남겨요.
처음엔 구매할까말까 많이 고민했는데 들여놓고나니 식기세척기가 있고 없고의 삶의 질이 크게 차이나더라구요. 
저희 집은 돌아기 한명에 부부가 맞벌이라 육아휴직이 끝나는 아내를 위해 이번에 들여놨습니다! 맞벌이라 아기 돌보는 시간이 적어 매번 아쉬웠는데 설겆이하는 시간이  확 줄다보니 삶의질이 향상됐어요. 깨끗하게 설거지되는것도 넘 좋고요
고민했던 시간에 먼저 들여놓을걸 생각이 들정도로 잘 사용중입니다!</x:v>
      </x:c>
      <x:c r="J132" s="14" t="str">
        <x:v>https://www.lge.co.kr/mkt/review/MD10492836/pdpReviewListPopup</x:v>
      </x:c>
      <x:c r="K132" s="14" t="str">
        <x:v>#divReviewList &gt; li[data-review-id="543280"] .message</x:v>
      </x:c>
      <x:c r="L132" s="14" t="str">
        <x:v>MFL71959117 Rev.07_030626</x:v>
      </x:c>
      <x:c r="M132" s="14" t="str">
        <x:v>e2f30d00f2d01c88fab980b9d49ec46a3e4ca06f25ec744fe54ed1c48158b425</x:v>
      </x:c>
      <x:c r="N132" s="17" t="b">
        <x:v>0</x:v>
      </x:c>
      <x:c r="O132" s="14" t="str">
        <x:v>LGE-R5-GROUP-543280</x:v>
      </x:c>
      <x:c r="P132" s="14" t="n">
        <x:v>46302.048562083335</x:v>
      </x:c>
      <x:c r="Q132" s="14" t="str"/>
      <x:c r="R132" s="17" t="b">
        <x:v>0</x:v>
      </x:c>
      <x:c r="S132" s="14" t="str">
        <x:v>fixed18</x:v>
      </x:c>
    </x:row>
    <x:row r="133" ht="48" customHeight="1">
      <x:c r="A133" s="14" t="str">
        <x:v>528042</x:v>
      </x:c>
      <x:c r="B133" s="14" t="str">
        <x:v>dishwasher</x:v>
      </x:c>
      <x:c r="C133" s="14" t="str">
        <x:v>DUE6BGL2E</x:v>
      </x:c>
      <x:c r="D133" s="18"/>
      <x:c r="E133" s="14" t="str">
        <x:v>development</x:v>
      </x:c>
      <x:c r="F133" s="15" t="n">
        <x:v>45960</x:v>
      </x:c>
      <x:c r="G133" s="18"/>
      <x:c r="H133" s="16" t="n">
        <x:v>5</x:v>
      </x:c>
      <x:c r="I133" s="14" t="str">
        <x:v>라이브방송 떠서 저렴하게 샀습니다.1등급 할인도 바도 열+스팀 기능 까지 있는데 할인 많이 해서 잘산것 같아요~  설거지 많은날 아주 편하네요~ 설치비가 좀 썬것 같지만 예쁘게 각 잘 맞춰 들어갔습니다.</x:v>
      </x:c>
      <x:c r="J133" s="14" t="str">
        <x:v>https://www.lge.co.kr/mkt/review/MD10492836/pdpReviewListPopup</x:v>
      </x:c>
      <x:c r="K133" s="14" t="str">
        <x:v>#divReviewList &gt; li[data-review-id="528042"] .message</x:v>
      </x:c>
      <x:c r="L133" s="14" t="str">
        <x:v>MFL71959117 Rev.07_030626</x:v>
      </x:c>
      <x:c r="M133" s="14" t="str">
        <x:v>480c1f7edc76240a30f953fbc6a9eed5c7a0e3ddc5058d21c8392327625ce912</x:v>
      </x:c>
      <x:c r="N133" s="17" t="b">
        <x:v>0</x:v>
      </x:c>
      <x:c r="O133" s="14" t="str">
        <x:v>LGE-R5-GROUP-528042</x:v>
      </x:c>
      <x:c r="P133" s="14" t="n">
        <x:v>46302.048562083335</x:v>
      </x:c>
      <x:c r="Q133" s="14" t="str"/>
      <x:c r="R133" s="17" t="b">
        <x:v>0</x:v>
      </x:c>
      <x:c r="S133" s="14" t="str">
        <x:v>fixed18</x:v>
      </x:c>
    </x:row>
    <x:row r="134" ht="99" customHeight="1">
      <x:c r="A134" s="14" t="str">
        <x:v>860173</x:v>
      </x:c>
      <x:c r="B134" s="14" t="str">
        <x:v>dishwasher</x:v>
      </x:c>
      <x:c r="C134" s="14" t="str">
        <x:v>DUE4BGL1E</x:v>
      </x:c>
      <x:c r="D134" s="18"/>
      <x:c r="E134" s="14" t="str">
        <x:v>demonstration</x:v>
      </x:c>
      <x:c r="F134" s="15" t="n">
        <x:v>46300</x:v>
      </x:c>
      <x:c r="G134" s="18"/>
      <x:c r="H134" s="16" t="n">
        <x:v>5</x:v>
      </x:c>
      <x:c r="I134" s="14" t="str">
        <x:v>사야될까 말까 고민하다가
예비신부가 꼭 있어야된다며!
구입한 건데 만족도가 상당합니다
고민말고 추천합니다 :))</x:v>
      </x:c>
      <x:c r="J134" s="14" t="str">
        <x:v>https://www.lge.co.kr/mkt/review/MD10804836/pdpReviewListPopup</x:v>
      </x:c>
      <x:c r="K134" s="14" t="str">
        <x:v>#divReviewList &gt; li[data-review-id="860173"] .message</x:v>
      </x:c>
      <x:c r="L134" s="14"/>
      <x:c r="M134" s="14" t="str">
        <x:v>6e5d5984f222704b5b8a195e2847f15978b19d4a53925bcebaac26d057ebe142</x:v>
      </x:c>
      <x:c r="N134" s="17" t="b">
        <x:v>0</x:v>
      </x:c>
      <x:c r="O134" s="14" t="str">
        <x:v>LGE-R5-GROUP-860173</x:v>
      </x:c>
      <x:c r="P134" s="14" t="n">
        <x:v>46302.058248298614</x:v>
      </x:c>
      <x:c r="Q134" s="14" t="str"/>
      <x:c r="R134" s="17" t="b">
        <x:v>0</x:v>
      </x:c>
      <x:c r="S134" s="14" t="str">
        <x:v>fixed18</x:v>
      </x:c>
    </x:row>
    <x:row r="135" ht="54" customHeight="1">
      <x:c r="A135" s="14" t="str">
        <x:v>752307</x:v>
      </x:c>
      <x:c r="B135" s="14" t="str">
        <x:v>dishwasher</x:v>
      </x:c>
      <x:c r="C135" s="14" t="str">
        <x:v>DUE4BGL1E</x:v>
      </x:c>
      <x:c r="D135" s="18"/>
      <x:c r="E135" s="14" t="str">
        <x:v>development</x:v>
      </x:c>
      <x:c r="F135" s="15" t="n">
        <x:v>46183</x:v>
      </x:c>
      <x:c r="G135" s="18"/>
      <x:c r="H135" s="16" t="n">
        <x:v>5</x:v>
      </x:c>
      <x:c r="I135" s="14" t="str">
        <x:v>아이가 있어 집에 식기세척기를 들여놓게 되었는데 젓병과 그릇등 스팀으로 살균을 해주니 따로 관리할 필요없어 좋고, 수납공간도 넉넉해서 3~4인용 식기 세척시 충분해서 좋내요.
또한 전력도 그리 많이 안들어 잔기효율까지 좋아 너무나 만족합니다.</x:v>
      </x:c>
      <x:c r="J135" s="14" t="str">
        <x:v>https://www.lge.co.kr/mkt/review/MD10804836/pdpReviewListPopup</x:v>
      </x:c>
      <x:c r="K135" s="14" t="str">
        <x:v>#divReviewList &gt; li[data-review-id="752307"] .message</x:v>
      </x:c>
      <x:c r="L135" s="14"/>
      <x:c r="M135" s="14" t="str">
        <x:v>35e12e7e0a63ad61e17f5cc73c5fb68fafd96f8d2921b3b56af90f9274a80187</x:v>
      </x:c>
      <x:c r="N135" s="17" t="b">
        <x:v>0</x:v>
      </x:c>
      <x:c r="O135" s="14" t="str">
        <x:v>LGE-R5-GROUP-752307</x:v>
      </x:c>
      <x:c r="P135" s="14" t="n">
        <x:v>46302.058248298614</x:v>
      </x:c>
      <x:c r="Q135" s="14" t="str"/>
      <x:c r="R135" s="17" t="b">
        <x:v>0</x:v>
      </x:c>
      <x:c r="S135" s="14" t="str">
        <x:v>fixed18</x:v>
      </x:c>
    </x:row>
    <x:row r="136" ht="48" customHeight="1">
      <x:c r="A136" s="14" t="str">
        <x:v>860786</x:v>
      </x:c>
      <x:c r="B136" s="14" t="str">
        <x:v>dishwasher</x:v>
      </x:c>
      <x:c r="C136" s="14" t="str">
        <x:v>DUE4BGL1E</x:v>
      </x:c>
      <x:c r="D136" s="18"/>
      <x:c r="E136" s="14" t="str">
        <x:v>development</x:v>
      </x:c>
      <x:c r="F136" s="15" t="n">
        <x:v>46300</x:v>
      </x:c>
      <x:c r="G136" s="18"/>
      <x:c r="H136" s="16" t="n">
        <x:v>5</x:v>
      </x:c>
      <x:c r="I136" s="14" t="str">
        <x:v>14인용 살까하다가 가격차이가 많이 나서 12인용으로구매했는데 4인 가족 쓰기에 충분합니다. 식세기 내부가 생각보다 넓어서 큰 냄비도 충분히 들어가고 빌트인으로 색깔도 싱크대와 잘 맞아서 매우 만족합니다.</x:v>
      </x:c>
      <x:c r="J136" s="14" t="str">
        <x:v>https://www.lge.co.kr/mkt/review/MD10804836/pdpReviewListPopup</x:v>
      </x:c>
      <x:c r="K136" s="14" t="str">
        <x:v>#divReviewList &gt; li[data-review-id="860786"] .message</x:v>
      </x:c>
      <x:c r="L136" s="14"/>
      <x:c r="M136" s="14" t="str">
        <x:v>91de6f022cf231822a77e43bb53271fb28a579cfd37e771cf9d2a15b6b35130a</x:v>
      </x:c>
      <x:c r="N136" s="17" t="b">
        <x:v>0</x:v>
      </x:c>
      <x:c r="O136" s="14" t="str">
        <x:v>LGE-R5-GROUP-860786</x:v>
      </x:c>
      <x:c r="P136" s="14" t="n">
        <x:v>46302.058248298614</x:v>
      </x:c>
      <x:c r="Q136" s="14" t="str"/>
      <x:c r="R136" s="17" t="b">
        <x:v>0</x:v>
      </x:c>
      <x:c r="S136" s="14" t="str">
        <x:v>fixed18</x:v>
      </x:c>
    </x:row>
    <x:row r="137" ht="69" customHeight="1">
      <x:c r="A137" s="14" t="str">
        <x:v>855346</x:v>
      </x:c>
      <x:c r="B137" s="14" t="str">
        <x:v>dishwasher</x:v>
      </x:c>
      <x:c r="C137" s="14" t="str">
        <x:v>DUE4BGL1E</x:v>
      </x:c>
      <x:c r="D137" s="18"/>
      <x:c r="E137" s="14" t="str">
        <x:v>development</x:v>
      </x:c>
      <x:c r="F137" s="15" t="n">
        <x:v>46294</x:v>
      </x:c>
      <x:c r="G137" s="18"/>
      <x:c r="H137" s="16" t="n">
        <x:v>5</x:v>
      </x:c>
      <x:c r="I137" s="14" t="str">
        <x:v>신혼집 필수 아이템이라고 해서 장만 했습니다 ෆ 
예비 남편도 인간 식세기 탈출이라고 너무 좋아합니다!!
삶의질도 향상되고 스팀도 되면 나중에 아기 식세기도
가능할것 같아욥</x:v>
      </x:c>
      <x:c r="J137" s="14" t="str">
        <x:v>https://www.lge.co.kr/mkt/review/MD10804836/pdpReviewListPopup</x:v>
      </x:c>
      <x:c r="K137" s="14" t="str">
        <x:v>#divReviewList &gt; li[data-review-id="855346"] .message</x:v>
      </x:c>
      <x:c r="L137" s="14"/>
      <x:c r="M137" s="14" t="str">
        <x:v>a32e9127d285755e4f587331168f6fe41e033979d198e2ba035a11755a6dba38</x:v>
      </x:c>
      <x:c r="N137" s="17" t="b">
        <x:v>0</x:v>
      </x:c>
      <x:c r="O137" s="14" t="str">
        <x:v>LGE-R5-GROUP-855346</x:v>
      </x:c>
      <x:c r="P137" s="14" t="n">
        <x:v>46302.058248298614</x:v>
      </x:c>
      <x:c r="Q137" s="14" t="str"/>
      <x:c r="R137" s="17" t="b">
        <x:v>0</x:v>
      </x:c>
      <x:c r="S137" s="14" t="str">
        <x:v>fixed18</x:v>
      </x:c>
    </x:row>
    <x:row r="138" ht="48" customHeight="1">
      <x:c r="A138" s="14" t="str">
        <x:v>853593</x:v>
      </x:c>
      <x:c r="B138" s="14" t="str">
        <x:v>dishwasher</x:v>
      </x:c>
      <x:c r="C138" s="14" t="str">
        <x:v>DUE4BGL1E</x:v>
      </x:c>
      <x:c r="D138" s="18"/>
      <x:c r="E138" s="14" t="str">
        <x:v>development</x:v>
      </x:c>
      <x:c r="F138" s="15" t="n">
        <x:v>46292</x:v>
      </x:c>
      <x:c r="G138" s="18"/>
      <x:c r="H138" s="16" t="n">
        <x:v>5</x:v>
      </x:c>
      <x:c r="I138" s="14" t="str">
        <x:v>식세기 처음 써 보는데 너무 편해요. 린스랑 세제랑 소금까지 넣어야 된다는 건 좀 당황스럽지만 건조도 잘 되고 성능은 좋은 것 같습니다</x:v>
      </x:c>
      <x:c r="J138" s="14" t="str">
        <x:v>https://www.lge.co.kr/mkt/review/MD10804836/pdpReviewListPopup</x:v>
      </x:c>
      <x:c r="K138" s="14" t="str">
        <x:v>#divReviewList &gt; li[data-review-id="853593"] .message</x:v>
      </x:c>
      <x:c r="L138" s="14"/>
      <x:c r="M138" s="14" t="str">
        <x:v>5b38c79373ca3ae7f67b3accb77b9c508d0a1df1259d9eaf33443fbf1544f647</x:v>
      </x:c>
      <x:c r="N138" s="17" t="b">
        <x:v>0</x:v>
      </x:c>
      <x:c r="O138" s="14" t="str">
        <x:v>LGE-R5-GROUP-853593</x:v>
      </x:c>
      <x:c r="P138" s="14" t="n">
        <x:v>46302.058248298614</x:v>
      </x:c>
      <x:c r="Q138" s="14" t="str"/>
      <x:c r="R138" s="17" t="b">
        <x:v>0</x:v>
      </x:c>
      <x:c r="S138" s="14" t="str">
        <x:v>fixed18</x:v>
      </x:c>
    </x:row>
    <x:row r="139" ht="48" customHeight="1">
      <x:c r="A139" s="14" t="str">
        <x:v>853388</x:v>
      </x:c>
      <x:c r="B139" s="14" t="str">
        <x:v>dishwasher</x:v>
      </x:c>
      <x:c r="C139" s="14" t="str">
        <x:v>DUE4BGL1E</x:v>
      </x:c>
      <x:c r="D139" s="18"/>
      <x:c r="E139" s="14" t="str">
        <x:v>development</x:v>
      </x:c>
      <x:c r="F139" s="15" t="n">
        <x:v>46292</x:v>
      </x:c>
      <x:c r="G139" s="18"/>
      <x:c r="H139" s="16" t="n">
        <x:v>5</x:v>
      </x:c>
      <x:c r="I139" s="14" t="str">
        <x:v>소음없이 조용하고 너무 좋네요~ 깨끗하게 잘 세척됩니다!! 마음에 들어요^^</x:v>
      </x:c>
      <x:c r="J139" s="14" t="str">
        <x:v>https://www.lge.co.kr/mkt/review/MD10804836/pdpReviewListPopup</x:v>
      </x:c>
      <x:c r="K139" s="14" t="str">
        <x:v>#divReviewList &gt; li[data-review-id="853388"] .message</x:v>
      </x:c>
      <x:c r="L139" s="14"/>
      <x:c r="M139" s="14" t="str">
        <x:v>6ef35be63f8a1631d012fc14b1547ada62302bc0e331328c327c8a9e21c8e166</x:v>
      </x:c>
      <x:c r="N139" s="17" t="b">
        <x:v>0</x:v>
      </x:c>
      <x:c r="O139" s="14" t="str">
        <x:v>LGE-R5-GROUP-853388</x:v>
      </x:c>
      <x:c r="P139" s="14" t="n">
        <x:v>46302.058248298614</x:v>
      </x:c>
      <x:c r="Q139" s="14" t="str"/>
      <x:c r="R139" s="17" t="b">
        <x:v>0</x:v>
      </x:c>
      <x:c r="S139" s="14" t="str">
        <x:v>fixed18</x:v>
      </x:c>
    </x:row>
    <x:row r="140" ht="48" customHeight="1">
      <x:c r="A140" s="14" t="str">
        <x:v>853126</x:v>
      </x:c>
      <x:c r="B140" s="14" t="str">
        <x:v>dishwasher</x:v>
      </x:c>
      <x:c r="C140" s="14" t="str">
        <x:v>DUE4BGL1E</x:v>
      </x:c>
      <x:c r="D140" s="18"/>
      <x:c r="E140" s="14" t="str">
        <x:v>independent_evaluation</x:v>
      </x:c>
      <x:c r="F140" s="15" t="n">
        <x:v>46291</x:v>
      </x:c>
      <x:c r="G140" s="18"/>
      <x:c r="H140" s="16" t="n">
        <x:v>5</x:v>
      </x:c>
      <x:c r="I140" s="14" t="str">
        <x:v>식기세척기 고장으로 새로 구입했는데 진작에 구매 안한게 후회될 정도로 너무나 잘 사용하고 있습니다.
가전은 엘지로 주로 구입하는 것 같아요~ 이번에 세탁기도 들여야 할 것 같아서 보고 있습니다.</x:v>
      </x:c>
      <x:c r="J140" s="14" t="str">
        <x:v>https://www.lge.co.kr/mkt/review/MD10804836/pdpReviewListPopup</x:v>
      </x:c>
      <x:c r="K140" s="14" t="str">
        <x:v>#divReviewList &gt; li[data-review-id="853126"] .message</x:v>
      </x:c>
      <x:c r="L140" s="14"/>
      <x:c r="M140" s="14" t="str">
        <x:v>abac0638c36f1216aaab72433a419f0d05eaf708fb9dc45348d7da4a8c385a47</x:v>
      </x:c>
      <x:c r="N140" s="17" t="b">
        <x:v>0</x:v>
      </x:c>
      <x:c r="O140" s="14" t="str">
        <x:v>LGE-R5-GROUP-853126</x:v>
      </x:c>
      <x:c r="P140" s="14" t="n">
        <x:v>46302.058248298614</x:v>
      </x:c>
      <x:c r="Q140" s="14" t="str"/>
      <x:c r="R140" s="17" t="b">
        <x:v>0</x:v>
      </x:c>
      <x:c r="S140" s="14" t="str">
        <x:v>fixed18</x:v>
      </x:c>
    </x:row>
    <x:row r="141" ht="48" customHeight="1">
      <x:c r="A141" s="14" t="str">
        <x:v>852495</x:v>
      </x:c>
      <x:c r="B141" s="14" t="str">
        <x:v>dishwasher</x:v>
      </x:c>
      <x:c r="C141" s="14" t="str">
        <x:v>DUE4BGL1E</x:v>
      </x:c>
      <x:c r="D141" s="18"/>
      <x:c r="E141" s="14" t="str">
        <x:v>independent_evaluation</x:v>
      </x:c>
      <x:c r="F141" s="15" t="n">
        <x:v>46290</x:v>
      </x:c>
      <x:c r="G141" s="18"/>
      <x:c r="H141" s="16" t="n">
        <x:v>5</x:v>
      </x:c>
      <x:c r="I141" s="14" t="str">
        <x:v>이번에 이사하면서 가전을 엘지로 다 구입했는데 정말 맘에 들어요. 기사님도 친절하셨고 설치도 꼼꼼히 봐주시고 설명도 참 차분히 잘 해주셨어요~ 아주 만족합니다^^</x:v>
      </x:c>
      <x:c r="J141" s="14" t="str">
        <x:v>https://www.lge.co.kr/mkt/review/MD10804836/pdpReviewListPopup</x:v>
      </x:c>
      <x:c r="K141" s="14" t="str">
        <x:v>#divReviewList &gt; li[data-review-id="852495"] .message</x:v>
      </x:c>
      <x:c r="L141" s="14"/>
      <x:c r="M141" s="14" t="str">
        <x:v>6dfc9e552f869d98478bd5915826367dc33f18e18e425ae8016f84dbb4b91e5b</x:v>
      </x:c>
      <x:c r="N141" s="17" t="b">
        <x:v>0</x:v>
      </x:c>
      <x:c r="O141" s="14" t="str">
        <x:v>LGE-R5-GROUP-852495</x:v>
      </x:c>
      <x:c r="P141" s="14" t="n">
        <x:v>46302.058248298614</x:v>
      </x:c>
      <x:c r="Q141" s="14" t="str"/>
      <x:c r="R141" s="17" t="b">
        <x:v>0</x:v>
      </x:c>
      <x:c r="S141" s="14" t="str">
        <x:v>fixed18</x:v>
      </x:c>
    </x:row>
    <x:row r="142" ht="84" customHeight="1">
      <x:c r="A142" s="14" t="str">
        <x:v>842723</x:v>
      </x:c>
      <x:c r="B142" s="14" t="str">
        <x:v>dishwasher</x:v>
      </x:c>
      <x:c r="C142" s="14" t="str">
        <x:v>DUE4BGL1E</x:v>
      </x:c>
      <x:c r="D142" s="18"/>
      <x:c r="E142" s="14" t="str">
        <x:v>independent_evaluation</x:v>
      </x:c>
      <x:c r="F142" s="15" t="n">
        <x:v>46276</x:v>
      </x:c>
      <x:c r="G142" s="18"/>
      <x:c r="H142" s="16" t="n">
        <x:v>5</x:v>
      </x:c>
      <x:c r="I142" s="14" t="str">
        <x:v>설치기사님이 친절하십니다
설치후에 배수관문제 때문에 고민하고있으니
한번더 철거하고 재설치 까지 해주신다고 하시고,
(물론 철거는 안했습니다!) 
뒷정리, 설명 완벽했습니다</x:v>
      </x:c>
      <x:c r="J142" s="14" t="str">
        <x:v>https://www.lge.co.kr/mkt/review/MD10804836/pdpReviewListPopup</x:v>
      </x:c>
      <x:c r="K142" s="14" t="str">
        <x:v>#divReviewList &gt; li[data-review-id="842723"] .message</x:v>
      </x:c>
      <x:c r="L142" s="14"/>
      <x:c r="M142" s="14" t="str">
        <x:v>2885010323c91c8feea13106b74b306adb5227cc3107b298ce5033162e74e32a</x:v>
      </x:c>
      <x:c r="N142" s="17" t="b">
        <x:v>0</x:v>
      </x:c>
      <x:c r="O142" s="14" t="str">
        <x:v>LGE-R5-GROUP-842723</x:v>
      </x:c>
      <x:c r="P142" s="14" t="n">
        <x:v>46302.058248298614</x:v>
      </x:c>
      <x:c r="Q142" s="14" t="str"/>
      <x:c r="R142" s="17" t="b">
        <x:v>0</x:v>
      </x:c>
      <x:c r="S142" s="14" t="str">
        <x:v>fixed18</x:v>
      </x:c>
    </x:row>
    <x:row r="143" ht="48" customHeight="1">
      <x:c r="A143" s="14" t="str">
        <x:v>841140</x:v>
      </x:c>
      <x:c r="B143" s="14" t="str">
        <x:v>dishwasher</x:v>
      </x:c>
      <x:c r="C143" s="14" t="str">
        <x:v>DUE4BGL1E</x:v>
      </x:c>
      <x:c r="D143" s="18"/>
      <x:c r="E143" s="14" t="str">
        <x:v>development</x:v>
      </x:c>
      <x:c r="F143" s="15" t="n">
        <x:v>46274</x:v>
      </x:c>
      <x:c r="G143" s="18"/>
      <x:c r="H143" s="16" t="n">
        <x:v>5</x:v>
      </x:c>
      <x:c r="I143" s="14" t="str">
        <x:v>식기세척기 추천을 많이 받았었는데 굳이 14인용 쓸 필요가 없어서 12인용으로 구입했고 잘 설치 받았습니다. 색상도 튀지 않고 좋아요. 아직 많이 써보지는 않아서 사용을 더 해봐야 알 것 같아요.</x:v>
      </x:c>
      <x:c r="J143" s="14" t="str">
        <x:v>https://www.lge.co.kr/mkt/review/MD10804836/pdpReviewListPopup</x:v>
      </x:c>
      <x:c r="K143" s="14" t="str">
        <x:v>#divReviewList &gt; li[data-review-id="841140"] .message</x:v>
      </x:c>
      <x:c r="L143" s="14"/>
      <x:c r="M143" s="14" t="str">
        <x:v>e312a864695516c25e4bc03f00c66a18f608e6ac9b55f73a7242ed6c71950e03</x:v>
      </x:c>
      <x:c r="N143" s="17" t="b">
        <x:v>0</x:v>
      </x:c>
      <x:c r="O143" s="14" t="str">
        <x:v>LGE-R5-GROUP-841140</x:v>
      </x:c>
      <x:c r="P143" s="14" t="n">
        <x:v>46302.058248298614</x:v>
      </x:c>
      <x:c r="Q143" s="14" t="str"/>
      <x:c r="R143" s="17" t="b">
        <x:v>0</x:v>
      </x:c>
      <x:c r="S143" s="14" t="str">
        <x:v>fixed18</x:v>
      </x:c>
    </x:row>
    <x:row r="144" ht="48" customHeight="1">
      <x:c r="A144" s="14" t="str">
        <x:v>708772</x:v>
      </x:c>
      <x:c r="B144" s="14" t="str">
        <x:v>dishwasher</x:v>
      </x:c>
      <x:c r="C144" s="14" t="str">
        <x:v>DUE1BGL1E</x:v>
      </x:c>
      <x:c r="D144" s="18"/>
      <x:c r="E144" s="14" t="str">
        <x:v>development</x:v>
      </x:c>
      <x:c r="F144" s="15" t="n">
        <x:v>46141</x:v>
      </x:c>
      <x:c r="G144" s="18"/>
      <x:c r="H144" s="16" t="n">
        <x:v>5</x:v>
      </x:c>
      <x:c r="I144" s="14" t="str">
        <x:v>소음도 없고 깔끔하게 잘 세척되고 건조되어 나옵니다
색상도 이쁘네요</x:v>
      </x:c>
      <x:c r="J144" s="14" t="str">
        <x:v>https://www.lge.co.kr/mkt/review/MD10804837/pdpReviewListPopup</x:v>
      </x:c>
      <x:c r="K144" s="14" t="str">
        <x:v>#divReviewList &gt; li[data-review-id="708772"] .message</x:v>
      </x:c>
      <x:c r="L144" s="14"/>
      <x:c r="M144" s="14" t="str">
        <x:v>be8704cc797ab0bccf6d2691c095284567393e3472c3bf8e1eac6da6f7b3cdb1</x:v>
      </x:c>
      <x:c r="N144" s="17" t="b">
        <x:v>0</x:v>
      </x:c>
      <x:c r="O144" s="14" t="str">
        <x:v>LGE-R5-GROUP-708772</x:v>
      </x:c>
      <x:c r="P144" s="14" t="n">
        <x:v>46302.05826320602</x:v>
      </x:c>
      <x:c r="Q144" s="14" t="str"/>
      <x:c r="R144" s="17" t="b">
        <x:v>0</x:v>
      </x:c>
      <x:c r="S144" s="14" t="str">
        <x:v>fixed18</x:v>
      </x:c>
    </x:row>
    <x:row r="145" ht="48" customHeight="1">
      <x:c r="A145" s="14" t="str">
        <x:v>859044</x:v>
      </x:c>
      <x:c r="B145" s="14" t="str">
        <x:v>dishwasher</x:v>
      </x:c>
      <x:c r="C145" s="14" t="str">
        <x:v>DUE1BGL1E</x:v>
      </x:c>
      <x:c r="D145" s="18"/>
      <x:c r="E145" s="14" t="str">
        <x:v>development</x:v>
      </x:c>
      <x:c r="F145" s="15" t="n">
        <x:v>46298</x:v>
      </x:c>
      <x:c r="G145" s="18"/>
      <x:c r="H145" s="16" t="n">
        <x:v>5</x:v>
      </x:c>
      <x:c r="I145" s="14" t="str">
        <x:v>색상이 이쁩니다 기사님이 설명도 친절하게 잘해주셨습니다</x:v>
      </x:c>
      <x:c r="J145" s="14" t="str">
        <x:v>https://www.lge.co.kr/mkt/review/MD10804837/pdpReviewListPopup</x:v>
      </x:c>
      <x:c r="K145" s="14" t="str">
        <x:v>#divReviewList &gt; li[data-review-id="859044"] .message</x:v>
      </x:c>
      <x:c r="L145" s="14"/>
      <x:c r="M145" s="14" t="str">
        <x:v>a664d0122358449f4a1bdc294f1df8b108a3a57a8a27dff236e7a3caec55204f</x:v>
      </x:c>
      <x:c r="N145" s="17" t="b">
        <x:v>0</x:v>
      </x:c>
      <x:c r="O145" s="14" t="str">
        <x:v>LGE-R5-GROUP-859044</x:v>
      </x:c>
      <x:c r="P145" s="14" t="n">
        <x:v>46302.05826320602</x:v>
      </x:c>
      <x:c r="Q145" s="14" t="str"/>
      <x:c r="R145" s="17" t="b">
        <x:v>0</x:v>
      </x:c>
      <x:c r="S145" s="14" t="str">
        <x:v>fixed18</x:v>
      </x:c>
    </x:row>
    <x:row r="146" ht="48" customHeight="1">
      <x:c r="A146" s="14" t="str">
        <x:v>851023</x:v>
      </x:c>
      <x:c r="B146" s="14" t="str">
        <x:v>dishwasher</x:v>
      </x:c>
      <x:c r="C146" s="14" t="str">
        <x:v>DUE1BGL1E</x:v>
      </x:c>
      <x:c r="D146" s="18"/>
      <x:c r="E146" s="14" t="str">
        <x:v>demonstration</x:v>
      </x:c>
      <x:c r="F146" s="15" t="n">
        <x:v>46287</x:v>
      </x:c>
      <x:c r="G146" s="18"/>
      <x:c r="H146" s="16" t="n">
        <x:v>5</x:v>
      </x:c>
      <x:c r="I146" s="14" t="str">
        <x:v>색상도 인테리어에 잘어울리고 성능은 최고입니다 벌써 2번때 구입</x:v>
      </x:c>
      <x:c r="J146" s="14" t="str">
        <x:v>https://www.lge.co.kr/mkt/review/MD10804837/pdpReviewListPopup</x:v>
      </x:c>
      <x:c r="K146" s="14" t="str">
        <x:v>#divReviewList &gt; li[data-review-id="851023"] .message</x:v>
      </x:c>
      <x:c r="L146" s="14"/>
      <x:c r="M146" s="14" t="str">
        <x:v>8a2e77059d259effe052e614c3126ca3d6dd690df88b2f316c3172d1675c609b</x:v>
      </x:c>
      <x:c r="N146" s="17" t="b">
        <x:v>0</x:v>
      </x:c>
      <x:c r="O146" s="14" t="str">
        <x:v>LGE-R5-GROUP-851023</x:v>
      </x:c>
      <x:c r="P146" s="14" t="n">
        <x:v>46302.05826320602</x:v>
      </x:c>
      <x:c r="Q146" s="14" t="str"/>
      <x:c r="R146" s="17" t="b">
        <x:v>0</x:v>
      </x:c>
      <x:c r="S146" s="14" t="str">
        <x:v>fixed18</x:v>
      </x:c>
    </x:row>
    <x:row r="147" ht="69" customHeight="1">
      <x:c r="A147" s="14" t="str">
        <x:v>822948</x:v>
      </x:c>
      <x:c r="B147" s="14" t="str">
        <x:v>dishwasher</x:v>
      </x:c>
      <x:c r="C147" s="14" t="str">
        <x:v>DUE1BGL1E</x:v>
      </x:c>
      <x:c r="D147" s="18"/>
      <x:c r="E147" s="14" t="str">
        <x:v>demonstration</x:v>
      </x:c>
      <x:c r="F147" s="15" t="n">
        <x:v>46252</x:v>
      </x:c>
      <x:c r="G147" s="18"/>
      <x:c r="H147" s="16" t="n">
        <x:v>5</x:v>
      </x:c>
      <x:c r="I147" s="14" t="str">
        <x:v>설치2주만에... 10여만원 할인이라뇨 예???네???
식세기 넘나 만족합니다 작동 마치면 뜨거운 열기가 펄펄 나는데 뜨거운거 안하고싶어요 어찌해야하는지 모르겠으옹
베이지 이뿝니다 순백색보다 더 예뻐요 상판이랑 잘 어울려요</x:v>
      </x:c>
      <x:c r="J147" s="14" t="str">
        <x:v>https://www.lge.co.kr/mkt/review/MD10804837/pdpReviewListPopup</x:v>
      </x:c>
      <x:c r="K147" s="14" t="str">
        <x:v>#divReviewList &gt; li[data-review-id="822948"] .message</x:v>
      </x:c>
      <x:c r="L147" s="14"/>
      <x:c r="M147" s="14" t="str">
        <x:v>5e9d7b3e9fbab310b770d71f9db6b8ef8ceabc8d47e67f546743b5b6c4eeb59f</x:v>
      </x:c>
      <x:c r="N147" s="17" t="b">
        <x:v>0</x:v>
      </x:c>
      <x:c r="O147" s="14" t="str">
        <x:v>LGE-R5-GROUP-822948</x:v>
      </x:c>
      <x:c r="P147" s="14" t="n">
        <x:v>46302.05826320602</x:v>
      </x:c>
      <x:c r="Q147" s="14" t="str"/>
      <x:c r="R147" s="17" t="b">
        <x:v>0</x:v>
      </x:c>
      <x:c r="S147" s="14" t="str">
        <x:v>fixed18</x:v>
      </x:c>
    </x:row>
    <x:row r="148" ht="234" customHeight="1">
      <x:c r="A148" s="14" t="str">
        <x:v>821887</x:v>
      </x:c>
      <x:c r="B148" s="14" t="str">
        <x:v>dishwasher</x:v>
      </x:c>
      <x:c r="C148" s="14" t="str">
        <x:v>DUE1BGL1E</x:v>
      </x:c>
      <x:c r="D148" s="18"/>
      <x:c r="E148" s="14" t="str">
        <x:v>demonstration</x:v>
      </x:c>
      <x:c r="F148" s="15" t="n">
        <x:v>46251</x:v>
      </x:c>
      <x:c r="G148" s="18"/>
      <x:c r="H148" s="16" t="n">
        <x:v>5</x:v>
      </x:c>
      <x:c r="I148" s="14" t="str">
        <x:v>해외에서 가져온 제품에 하자가 있어 아쉽게도 새 제품으로 다시 구매하게 되었습니다.
설치 기사님께서 설치 전부터 제품과 설치 과정에 대해 정확하고 자세하게 설명해 주셔서 믿음이 갔습니다. 기존에 설치되어 있던 건조기 때문에 작업 동선이 쉽지 않았는데도 불편한 내색 없이 직접 옮겨가며 깔끔하게 설치해 주셔서 감사했습니다.
구매 전 제품 댓글에서 건조 기능에 대한 잘못된 정보를 보고 스펙을 오해한 부분이 있어 조금 아쉬웠지만, 평소에도 기본에 충실한 모드를 주로 사용하는 편이라 그냥 사용하기로 했습니다
특히 식기세척기 위에 인덕션이 설치되어 있어 걱정했는데, 인덕션 보강 설치가 필요한 부분과 방법까지 친절하고 자세하게 설명해 주셔서 많은 도움이 되었습니다.
설치 후에는 시범 운행을 통해 정상 작동 여부까지 꼼꼼하게 확인해 주셨고, 주변 정리와 뒷마무리까지 깔끔하게 해주셨습니다.
제품도 중요하지만 설치 과정과 기사님의 전문적인 설명, 세심한 마무리까지 만족스러웠던 설치였습니다.</x:v>
      </x:c>
      <x:c r="J148" s="14" t="str">
        <x:v>https://www.lge.co.kr/mkt/review/MD10804837/pdpReviewListPopup</x:v>
      </x:c>
      <x:c r="K148" s="14" t="str">
        <x:v>#divReviewList &gt; li[data-review-id="821887"] .message</x:v>
      </x:c>
      <x:c r="L148" s="14"/>
      <x:c r="M148" s="14" t="str">
        <x:v>74a5a379dbbda34cdaa50970375d86e40ac6000eb0134d0c0ab914e435f687a0</x:v>
      </x:c>
      <x:c r="N148" s="17" t="b">
        <x:v>0</x:v>
      </x:c>
      <x:c r="O148" s="14" t="str">
        <x:v>LGE-R5-GROUP-821887</x:v>
      </x:c>
      <x:c r="P148" s="14" t="n">
        <x:v>46302.05826320602</x:v>
      </x:c>
      <x:c r="Q148" s="14" t="str"/>
      <x:c r="R148" s="17" t="b">
        <x:v>0</x:v>
      </x:c>
      <x:c r="S148" s="14" t="str">
        <x:v>fixed18</x:v>
      </x:c>
    </x:row>
    <x:row r="149" ht="48" customHeight="1">
      <x:c r="A149" s="14" t="str">
        <x:v>819036</x:v>
      </x:c>
      <x:c r="B149" s="14" t="str">
        <x:v>dishwasher</x:v>
      </x:c>
      <x:c r="C149" s="14" t="str">
        <x:v>DUE1BGL1E</x:v>
      </x:c>
      <x:c r="D149" s="18"/>
      <x:c r="E149" s="14" t="str">
        <x:v>development</x:v>
      </x:c>
      <x:c r="F149" s="15" t="n">
        <x:v>46247</x:v>
      </x:c>
      <x:c r="G149" s="18"/>
      <x:c r="H149" s="16" t="n">
        <x:v>5</x:v>
      </x:c>
      <x:c r="I149" s="14" t="str">
        <x:v>식세기 좋네요 편해요 
기능을 다사용할진 모르겟어요 ㅋ</x:v>
      </x:c>
      <x:c r="J149" s="14" t="str">
        <x:v>https://www.lge.co.kr/mkt/review/MD10804837/pdpReviewListPopup</x:v>
      </x:c>
      <x:c r="K149" s="14" t="str">
        <x:v>#divReviewList &gt; li[data-review-id="819036"] .message</x:v>
      </x:c>
      <x:c r="L149" s="14"/>
      <x:c r="M149" s="14" t="str">
        <x:v>929199de787f4c5da4dd2a06b2048d4b7515759081b7d2ab13eff14bfd03db45</x:v>
      </x:c>
      <x:c r="N149" s="17" t="b">
        <x:v>0</x:v>
      </x:c>
      <x:c r="O149" s="14" t="str">
        <x:v>LGE-R5-GROUP-819036</x:v>
      </x:c>
      <x:c r="P149" s="14" t="n">
        <x:v>46302.05826320602</x:v>
      </x:c>
      <x:c r="Q149" s="14" t="str"/>
      <x:c r="R149" s="17" t="b">
        <x:v>0</x:v>
      </x:c>
      <x:c r="S149" s="14" t="str">
        <x:v>fixed18</x:v>
      </x:c>
    </x:row>
    <x:row r="150" ht="69" customHeight="1">
      <x:c r="A150" s="14" t="str">
        <x:v>815878</x:v>
      </x:c>
      <x:c r="B150" s="14" t="str">
        <x:v>dishwasher</x:v>
      </x:c>
      <x:c r="C150" s="14" t="str">
        <x:v>DUE1BGL1E</x:v>
      </x:c>
      <x:c r="D150" s="18"/>
      <x:c r="E150" s="14" t="str">
        <x:v>development</x:v>
      </x:c>
      <x:c r="F150" s="15" t="n">
        <x:v>46244</x:v>
      </x:c>
      <x:c r="G150" s="18"/>
      <x:c r="H150" s="16" t="n">
        <x:v>5</x:v>
      </x:c>
      <x:c r="I150" s="14" t="str">
        <x:v>기존에 빌트인 제품도 엘지 식기세척기였는데 17년 사용하고 새것으로 바꿨어요
설치기사님이 친절하시고 끝까지 꼼꼼히 설치해주셔서 만족감이 큽니다
물론 제품도 좋구요
가전은 LG가 최고지요</x:v>
      </x:c>
      <x:c r="J150" s="14" t="str">
        <x:v>https://www.lge.co.kr/mkt/review/MD10804837/pdpReviewListPopup</x:v>
      </x:c>
      <x:c r="K150" s="14" t="str">
        <x:v>#divReviewList &gt; li[data-review-id="815878"] .message</x:v>
      </x:c>
      <x:c r="L150" s="14"/>
      <x:c r="M150" s="14" t="str">
        <x:v>b2ac74c03bc240671495e76f902885abb5496c8e359d90b169c0d39b5ca1047a</x:v>
      </x:c>
      <x:c r="N150" s="17" t="b">
        <x:v>0</x:v>
      </x:c>
      <x:c r="O150" s="14" t="str">
        <x:v>LGE-R5-GROUP-815878</x:v>
      </x:c>
      <x:c r="P150" s="14" t="n">
        <x:v>46302.05826320602</x:v>
      </x:c>
      <x:c r="Q150" s="14" t="str"/>
      <x:c r="R150" s="17" t="b">
        <x:v>0</x:v>
      </x:c>
      <x:c r="S150" s="14" t="str">
        <x:v>fixed18</x:v>
      </x:c>
    </x:row>
    <x:row r="151" ht="48" customHeight="1">
      <x:c r="A151" s="14" t="str">
        <x:v>807279</x:v>
      </x:c>
      <x:c r="B151" s="14" t="str">
        <x:v>dishwasher</x:v>
      </x:c>
      <x:c r="C151" s="14" t="str">
        <x:v>DUE1BGL1E</x:v>
      </x:c>
      <x:c r="D151" s="18"/>
      <x:c r="E151" s="14" t="str">
        <x:v>independent_evaluation</x:v>
      </x:c>
      <x:c r="F151" s="15" t="n">
        <x:v>46236</x:v>
      </x:c>
      <x:c r="G151" s="18"/>
      <x:c r="H151" s="16" t="n">
        <x:v>5</x:v>
      </x:c>
      <x:c r="I151" s="14" t="str">
        <x:v>처음으로 식세기 사용해봤는데 좋네요 저렴하게 좋은제품입니다</x:v>
      </x:c>
      <x:c r="J151" s="14" t="str">
        <x:v>https://www.lge.co.kr/mkt/review/MD10804837/pdpReviewListPopup</x:v>
      </x:c>
      <x:c r="K151" s="14" t="str">
        <x:v>#divReviewList &gt; li[data-review-id="807279"] .message</x:v>
      </x:c>
      <x:c r="L151" s="14"/>
      <x:c r="M151" s="14" t="str">
        <x:v>49ced5252acb7376799f9b2162e297722a55e803611c346bc4e4cea4b734b981</x:v>
      </x:c>
      <x:c r="N151" s="17" t="b">
        <x:v>0</x:v>
      </x:c>
      <x:c r="O151" s="14" t="str">
        <x:v>LGE-R5-GROUP-807279</x:v>
      </x:c>
      <x:c r="P151" s="14" t="n">
        <x:v>46302.05826320602</x:v>
      </x:c>
      <x:c r="Q151" s="14" t="str"/>
      <x:c r="R151" s="17" t="b">
        <x:v>0</x:v>
      </x:c>
      <x:c r="S151" s="14" t="str">
        <x:v>fixed18</x:v>
      </x:c>
    </x:row>
    <x:row r="152" ht="84" customHeight="1">
      <x:c r="A152" s="14" t="str">
        <x:v>802937</x:v>
      </x:c>
      <x:c r="B152" s="14" t="str">
        <x:v>dishwasher</x:v>
      </x:c>
      <x:c r="C152" s="14" t="str">
        <x:v>DUE1BGL1E</x:v>
      </x:c>
      <x:c r="D152" s="18"/>
      <x:c r="E152" s="14" t="str">
        <x:v>development</x:v>
      </x:c>
      <x:c r="F152" s="15" t="n">
        <x:v>46232</x:v>
      </x:c>
      <x:c r="G152" s="18"/>
      <x:c r="H152" s="16" t="n">
        <x:v>5</x:v>
      </x:c>
      <x:c r="I152" s="14" t="str">
        <x:v>식기세척기를 사용해보니 설거지 시간이 크게 줄어들어 정말 만족스럽습니다. 세척력이 뛰어나 기름기 있는 그릇이나 냄비도 깨끗하게 세척되고, 건조까지 잘 되어 바로 수납할 수 있어 편리합니다. 작동 소음도 조용한 편이라 사용 중에도 크게 신경 쓰이지 않았고, 다양한 세척 코스가 있어 상황에 맞게 선택할 수 있는 점도 좋았습니다. 물 사용량도 적어 손설거지보다 효율적인 것 같고, 매일 반복되던 집안일이 훨씬 편해졌습니다. 디자인도 깔끔해 주방과 잘 어울리며, 전반적으로 성능과 편의성 모두 만족스러운 제품이라 주변에도 추천하고 싶은 제품입니다.</x:v>
      </x:c>
      <x:c r="J152" s="14" t="str">
        <x:v>https://www.lge.co.kr/mkt/review/MD10804837/pdpReviewListPopup</x:v>
      </x:c>
      <x:c r="K152" s="14" t="str">
        <x:v>#divReviewList &gt; li[data-review-id="802937"] .message</x:v>
      </x:c>
      <x:c r="L152" s="14"/>
      <x:c r="M152" s="14" t="str">
        <x:v>e195764c6ab47e4dd65322f64a8b78ea7f38b3cf8d1636b9c8e8005bbb4547dd</x:v>
      </x:c>
      <x:c r="N152" s="17" t="b">
        <x:v>0</x:v>
      </x:c>
      <x:c r="O152" s="14" t="str">
        <x:v>LGE-R5-GROUP-802937</x:v>
      </x:c>
      <x:c r="P152" s="14" t="n">
        <x:v>46302.05826320602</x:v>
      </x:c>
      <x:c r="Q152" s="14" t="str"/>
      <x:c r="R152" s="17" t="b">
        <x:v>0</x:v>
      </x:c>
      <x:c r="S152" s="14" t="str">
        <x:v>fixed18</x:v>
      </x:c>
    </x:row>
    <x:row r="153" ht="69" customHeight="1">
      <x:c r="A153" s="14" t="str">
        <x:v>801212</x:v>
      </x:c>
      <x:c r="B153" s="14" t="str">
        <x:v>dishwasher</x:v>
      </x:c>
      <x:c r="C153" s="14" t="str">
        <x:v>DUE1BGL1E</x:v>
      </x:c>
      <x:c r="D153" s="18"/>
      <x:c r="E153" s="14" t="str">
        <x:v>demonstration</x:v>
      </x:c>
      <x:c r="F153" s="15" t="n">
        <x:v>46230</x:v>
      </x:c>
      <x:c r="G153" s="18"/>
      <x:c r="H153" s="16" t="n">
        <x:v>5</x:v>
      </x:c>
      <x:c r="I153" s="14" t="str">
        <x:v>디자인이 미니멀하며 사용법이 간단합니다.
설치 기사님이 꼼꼼하고 친절하게 설명해주십니다.
기존의 철거한 제품도 수거해 주시니 감사했습니다.
설겆이가 더욱 편리해질 걸 생각하니 기분이 좋아지네요</x:v>
      </x:c>
      <x:c r="J153" s="14" t="str">
        <x:v>https://www.lge.co.kr/mkt/review/MD10804837/pdpReviewListPopup</x:v>
      </x:c>
      <x:c r="K153" s="14" t="str">
        <x:v>#divReviewList &gt; li[data-review-id="801212"] .message</x:v>
      </x:c>
      <x:c r="L153" s="14"/>
      <x:c r="M153" s="14" t="str">
        <x:v>3ce54a6f85920c9a316ab368adffdf45e575d648eda7a4a1a52ed28b277c2fe8</x:v>
      </x:c>
      <x:c r="N153" s="17" t="b">
        <x:v>0</x:v>
      </x:c>
      <x:c r="O153" s="14" t="str">
        <x:v>LGE-R5-GROUP-801212</x:v>
      </x:c>
      <x:c r="P153" s="14" t="n">
        <x:v>46302.05826320602</x:v>
      </x:c>
      <x:c r="Q153" s="14" t="str"/>
      <x:c r="R153" s="17" t="b">
        <x:v>0</x:v>
      </x:c>
      <x:c r="S153" s="14" t="str">
        <x:v>fixed18</x:v>
      </x:c>
    </x:row>
    <x:row r="154" ht="54" customHeight="1">
      <x:c r="A154" s="14" t="str">
        <x:v>846355</x:v>
      </x:c>
      <x:c r="B154" s="14" t="str">
        <x:v>dishwasher</x:v>
      </x:c>
      <x:c r="C154" s="14" t="str">
        <x:v>DUE5BGL1E</x:v>
      </x:c>
      <x:c r="D154" s="18"/>
      <x:c r="E154" s="14" t="str">
        <x:v>independent_evaluation</x:v>
      </x:c>
      <x:c r="F154" s="15" t="n">
        <x:v>46281</x:v>
      </x:c>
      <x:c r="G154" s="18"/>
      <x:c r="H154" s="16" t="n">
        <x:v>5</x:v>
      </x:c>
      <x:c r="I154" s="14" t="str">
        <x:v>아기 태어나 구매했어요~
영유아 3인가정 사용하기 딱좋고 손으로 설거지 하다가 식세기 설치하니 신세계네요~
너무 편하고 좋아요</x:v>
      </x:c>
      <x:c r="J154" s="14" t="str">
        <x:v>https://www.lge.co.kr/mkt/review/MD10492841/pdpReviewListPopup</x:v>
      </x:c>
      <x:c r="K154" s="14" t="str">
        <x:v>#divReviewList &gt; li[data-review-id="846355"] .message</x:v>
      </x:c>
      <x:c r="L154" s="14"/>
      <x:c r="M154" s="14" t="str">
        <x:v>6dd707a3b192c3d63b169073758576b522f4faf685961a06f3ca9cc327656736</x:v>
      </x:c>
      <x:c r="N154" s="17" t="b">
        <x:v>0</x:v>
      </x:c>
      <x:c r="O154" s="14" t="str">
        <x:v>LGE-R5-GROUP-846355</x:v>
      </x:c>
      <x:c r="P154" s="14" t="n">
        <x:v>46302.05827811343</x:v>
      </x:c>
      <x:c r="Q154" s="14" t="str"/>
      <x:c r="R154" s="17" t="b">
        <x:v>0</x:v>
      </x:c>
      <x:c r="S154" s="14" t="str">
        <x:v>fixed18</x:v>
      </x:c>
    </x:row>
    <x:row r="155" ht="69" customHeight="1">
      <x:c r="A155" s="14" t="str">
        <x:v>844376</x:v>
      </x:c>
      <x:c r="B155" s="14" t="str">
        <x:v>dishwasher</x:v>
      </x:c>
      <x:c r="C155" s="14" t="str">
        <x:v>DUE5BGL1E</x:v>
      </x:c>
      <x:c r="D155" s="18"/>
      <x:c r="E155" s="14" t="str">
        <x:v>development</x:v>
      </x:c>
      <x:c r="F155" s="15" t="n">
        <x:v>46278</x:v>
      </x:c>
      <x:c r="G155" s="18"/>
      <x:c r="H155" s="16" t="n">
        <x:v>5</x:v>
      </x:c>
      <x:c r="I155" s="14" t="str">
        <x:v>식세기 고민 중에 이제품에 제일 딱맞을것 같아 구입했습니다
미감적으로도 예쁘고 사용해보니 성능도 넘 좋아요
소음도 전혀 없이 조용하고 그릇도 반짝반짝하게 너무 깨끗하게 씻깁니다
건조도 아주 잘됩니다 아주 좋아요</x:v>
      </x:c>
      <x:c r="J155" s="14" t="str">
        <x:v>https://www.lge.co.kr/mkt/review/MD10492841/pdpReviewListPopup</x:v>
      </x:c>
      <x:c r="K155" s="14" t="str">
        <x:v>#divReviewList &gt; li[data-review-id="844376"] .message</x:v>
      </x:c>
      <x:c r="L155" s="14"/>
      <x:c r="M155" s="14" t="str">
        <x:v>853004470379dd98ef4099b6ce6e9fcf23332677f3e28e1bbc3f6060deb38733</x:v>
      </x:c>
      <x:c r="N155" s="17" t="b">
        <x:v>0</x:v>
      </x:c>
      <x:c r="O155" s="14" t="str">
        <x:v>LGE-R5-GROUP-844376</x:v>
      </x:c>
      <x:c r="P155" s="14" t="n">
        <x:v>46302.05827811343</x:v>
      </x:c>
      <x:c r="Q155" s="14" t="str"/>
      <x:c r="R155" s="17" t="b">
        <x:v>0</x:v>
      </x:c>
      <x:c r="S155" s="14" t="str">
        <x:v>fixed18</x:v>
      </x:c>
    </x:row>
    <x:row r="156" ht="48" customHeight="1">
      <x:c r="A156" s="14" t="str">
        <x:v>517994</x:v>
      </x:c>
      <x:c r="B156" s="14" t="str">
        <x:v>dishwasher</x:v>
      </x:c>
      <x:c r="C156" s="14" t="str">
        <x:v>DUE5BGL1E</x:v>
      </x:c>
      <x:c r="D156" s="18"/>
      <x:c r="E156" s="14" t="str">
        <x:v>development</x:v>
      </x:c>
      <x:c r="F156" s="15" t="n">
        <x:v>45949</x:v>
      </x:c>
      <x:c r="G156" s="18"/>
      <x:c r="H156" s="16" t="n">
        <x:v>5</x:v>
      </x:c>
      <x:c r="I156" s="14" t="str">
        <x:v>첫 식기세척기로 아내의 시간을 절약할수 있어 좋았어요 국내생산제품이라니 더 믿음이 가네요 현재까지 아주 만족하면서 잘 사용하고 있습니다.</x:v>
      </x:c>
      <x:c r="J156" s="14" t="str">
        <x:v>https://www.lge.co.kr/mkt/review/MD10492841/pdpReviewListPopup</x:v>
      </x:c>
      <x:c r="K156" s="14" t="str">
        <x:v>#divReviewList &gt; li[data-review-id="517994"] .message</x:v>
      </x:c>
      <x:c r="L156" s="14"/>
      <x:c r="M156" s="14" t="str">
        <x:v>fcac9612deaa14b8400f2877bbf4790af9ddeeca1c6605988a94676208da322d</x:v>
      </x:c>
      <x:c r="N156" s="17" t="b">
        <x:v>0</x:v>
      </x:c>
      <x:c r="O156" s="14" t="str">
        <x:v>LGE-R5-GROUP-517994</x:v>
      </x:c>
      <x:c r="P156" s="14" t="n">
        <x:v>46302.05827811343</x:v>
      </x:c>
      <x:c r="Q156" s="14" t="str"/>
      <x:c r="R156" s="17" t="b">
        <x:v>0</x:v>
      </x:c>
      <x:c r="S156" s="14" t="str">
        <x:v>fixed18</x:v>
      </x:c>
    </x:row>
    <x:row r="157" ht="48" customHeight="1">
      <x:c r="A157" s="14" t="str">
        <x:v>438414</x:v>
      </x:c>
      <x:c r="B157" s="14" t="str">
        <x:v>dishwasher</x:v>
      </x:c>
      <x:c r="C157" s="14" t="str">
        <x:v>DUE5BGL1E</x:v>
      </x:c>
      <x:c r="D157" s="18"/>
      <x:c r="E157" s="14" t="str">
        <x:v>demonstration</x:v>
      </x:c>
      <x:c r="F157" s="15" t="n">
        <x:v>45875</x:v>
      </x:c>
      <x:c r="G157" s="18"/>
      <x:c r="H157" s="16" t="n">
        <x:v>5</x:v>
      </x:c>
      <x:c r="I157" s="14" t="str">
        <x:v>심플하면서 주방과 잘 어울리는 디자인, 넉넉한 용량, 다양한 부가기능</x:v>
      </x:c>
      <x:c r="J157" s="14" t="str">
        <x:v>https://www.lge.co.kr/mkt/review/MD10492841/pdpReviewListPopup</x:v>
      </x:c>
      <x:c r="K157" s="14" t="str">
        <x:v>#divReviewList &gt; li[data-review-id="438414"] .message</x:v>
      </x:c>
      <x:c r="L157" s="14"/>
      <x:c r="M157" s="14" t="str">
        <x:v>8c189395047ca6f13d1ab53736de3f9b6ffbb26efde61fed4e62db07825c9216</x:v>
      </x:c>
      <x:c r="N157" s="17" t="b">
        <x:v>0</x:v>
      </x:c>
      <x:c r="O157" s="14" t="str">
        <x:v>LGE-R5-GROUP-438414</x:v>
      </x:c>
      <x:c r="P157" s="14" t="n">
        <x:v>46302.05827811343</x:v>
      </x:c>
      <x:c r="Q157" s="14" t="str"/>
      <x:c r="R157" s="17" t="b">
        <x:v>0</x:v>
      </x:c>
      <x:c r="S157" s="14" t="str">
        <x:v>fixed18</x:v>
      </x:c>
    </x:row>
    <x:row r="158" ht="48" customHeight="1">
      <x:c r="A158" s="14" t="str">
        <x:v>358655</x:v>
      </x:c>
      <x:c r="B158" s="14" t="str">
        <x:v>dishwasher</x:v>
      </x:c>
      <x:c r="C158" s="14" t="str">
        <x:v>DUE5BGL1E</x:v>
      </x:c>
      <x:c r="D158" s="18"/>
      <x:c r="E158" s="14" t="str">
        <x:v>development</x:v>
      </x:c>
      <x:c r="F158" s="15" t="n">
        <x:v>45808</x:v>
      </x:c>
      <x:c r="G158" s="18"/>
      <x:c r="H158" s="16" t="n">
        <x:v>5</x:v>
      </x:c>
      <x:c r="I158" s="14" t="str">
        <x:v>유기용부터 LG 걸 사용하고 있었어요. 매우 조용하고 매우 잘 닦입니다. 최고예요</x:v>
      </x:c>
      <x:c r="J158" s="14" t="str">
        <x:v>https://www.lge.co.kr/mkt/review/MD10492841/pdpReviewListPopup</x:v>
      </x:c>
      <x:c r="K158" s="14" t="str">
        <x:v>#divReviewList &gt; li[data-review-id="358655"] .message</x:v>
      </x:c>
      <x:c r="L158" s="14"/>
      <x:c r="M158" s="14" t="str">
        <x:v>5f73eae76c29052794f2f4878ee39cf3e0aa6153b0f0344a6dd924ce73f16280</x:v>
      </x:c>
      <x:c r="N158" s="17" t="b">
        <x:v>0</x:v>
      </x:c>
      <x:c r="O158" s="14" t="str">
        <x:v>LGE-R5-GROUP-358655</x:v>
      </x:c>
      <x:c r="P158" s="14" t="n">
        <x:v>46302.05827811343</x:v>
      </x:c>
      <x:c r="Q158" s="14" t="str"/>
      <x:c r="R158" s="17" t="b">
        <x:v>0</x:v>
      </x:c>
      <x:c r="S158" s="14" t="str">
        <x:v>fixed18</x:v>
      </x:c>
    </x:row>
    <x:row r="159" ht="48" customHeight="1">
      <x:c r="A159" s="14" t="str">
        <x:v>297423</x:v>
      </x:c>
      <x:c r="B159" s="14" t="str">
        <x:v>dishwasher</x:v>
      </x:c>
      <x:c r="C159" s="14" t="str">
        <x:v>DUE5BGL1E</x:v>
      </x:c>
      <x:c r="D159" s="18"/>
      <x:c r="E159" s="14" t="str">
        <x:v>development</x:v>
      </x:c>
      <x:c r="F159" s="15" t="n">
        <x:v>45781</x:v>
      </x:c>
      <x:c r="G159" s="18"/>
      <x:c r="H159" s="16" t="n">
        <x:v>5</x:v>
      </x:c>
      <x:c r="I159" s="14" t="str">
        <x:v>넘 잘쓰고 있습니다 식기도 돌리고 벤타 디스크도 섬세 모드로 돌리고 생활이 넘 편리해 졌어요</x:v>
      </x:c>
      <x:c r="J159" s="14" t="str">
        <x:v>https://www.lge.co.kr/mkt/review/MD10492841/pdpReviewListPopup</x:v>
      </x:c>
      <x:c r="K159" s="14" t="str">
        <x:v>#divReviewList &gt; li[data-review-id="297423"] .message</x:v>
      </x:c>
      <x:c r="L159" s="14"/>
      <x:c r="M159" s="14" t="str">
        <x:v>da8bb3e49a599fbd31d3cea95c445c6bdef981aafb86374cff0520953d70cf0b</x:v>
      </x:c>
      <x:c r="N159" s="17" t="b">
        <x:v>0</x:v>
      </x:c>
      <x:c r="O159" s="14" t="str">
        <x:v>LGE-R5-GROUP-297423</x:v>
      </x:c>
      <x:c r="P159" s="14" t="n">
        <x:v>46302.05827811343</x:v>
      </x:c>
      <x:c r="Q159" s="14" t="str"/>
      <x:c r="R159" s="17" t="b">
        <x:v>0</x:v>
      </x:c>
      <x:c r="S159" s="14" t="str">
        <x:v>fixed18</x:v>
      </x:c>
    </x:row>
    <x:row r="160" ht="69" customHeight="1">
      <x:c r="A160" s="14" t="str">
        <x:v>782352</x:v>
      </x:c>
      <x:c r="B160" s="14" t="str">
        <x:v>dishwasher</x:v>
      </x:c>
      <x:c r="C160" s="14" t="str">
        <x:v>DUE5BGL1E</x:v>
      </x:c>
      <x:c r="D160" s="18"/>
      <x:c r="E160" s="14" t="str">
        <x:v>development</x:v>
      </x:c>
      <x:c r="F160" s="15" t="n">
        <x:v>46212</x:v>
      </x:c>
      <x:c r="G160" s="18"/>
      <x:c r="H160" s="16" t="n">
        <x:v>5</x:v>
      </x:c>
      <x:c r="I160" s="14" t="str">
        <x:v>굉장히 잘 세척되고 좋아요
잘 사용하고 있어요 추천하는 모델입니당
냄비도 넣어도 넉넉하고 좋으네요^^
굿입다요~~^^</x:v>
      </x:c>
      <x:c r="J160" s="14" t="str">
        <x:v>https://www.lge.co.kr/mkt/review/MD10492841/pdpReviewListPopup</x:v>
      </x:c>
      <x:c r="K160" s="14" t="str">
        <x:v>#divReviewList &gt; li[data-review-id="782352"] .message</x:v>
      </x:c>
      <x:c r="L160" s="14"/>
      <x:c r="M160" s="14" t="str">
        <x:v>f61869fa510f3dd5dd1b8bc84c07407ed1d100dfdfa1575fa4dcccd04f756f63</x:v>
      </x:c>
      <x:c r="N160" s="17" t="b">
        <x:v>0</x:v>
      </x:c>
      <x:c r="O160" s="14" t="str">
        <x:v>LGE-R5-GROUP-782352</x:v>
      </x:c>
      <x:c r="P160" s="14" t="n">
        <x:v>46302.05827811343</x:v>
      </x:c>
      <x:c r="Q160" s="14" t="str"/>
      <x:c r="R160" s="17" t="b">
        <x:v>0</x:v>
      </x:c>
      <x:c r="S160" s="14" t="str">
        <x:v>fixed18</x:v>
      </x:c>
    </x:row>
    <x:row r="161" ht="129" customHeight="1">
      <x:c r="A161" s="14" t="str">
        <x:v>623923</x:v>
      </x:c>
      <x:c r="B161" s="14" t="str">
        <x:v>dishwasher</x:v>
      </x:c>
      <x:c r="C161" s="14" t="str">
        <x:v>DUE5BGL1E</x:v>
      </x:c>
      <x:c r="D161" s="18"/>
      <x:c r="E161" s="14" t="str">
        <x:v>development</x:v>
      </x:c>
      <x:c r="F161" s="15" t="n">
        <x:v>46053</x:v>
      </x:c>
      <x:c r="G161" s="18"/>
      <x:c r="H161" s="16" t="n">
        <x:v>5</x:v>
      </x:c>
      <x:c r="I161" s="14" t="str">
        <x:v>설거지 지옥 탈출
나를 위한 올 연말 최고의 선물!!
진짜 편합니다~~
김치통, 반찬통 씻기 진찌 귀찮았는데 너무 편해졌구요~~
항상 건조로 시간이 많이 지체되었는데 빠른 건조 좋아요!
이번에 손님 왔을 때도 빨리 씻고 말리니 걱정이 없었습니다~~
고민 진짜 많이 하다가 주변에서 열풍건조는 잘 안 쓴다 해서 열풍 건조 없는 모델로 구입했어요~~
사실 스팀, 살균고 잘 안 써서 저한테는 딱인 제품입니다~</x:v>
      </x:c>
      <x:c r="J161" s="14" t="str">
        <x:v>https://www.lge.co.kr/mkt/review/MD10492841/pdpReviewListPopup</x:v>
      </x:c>
      <x:c r="K161" s="14" t="str">
        <x:v>#divReviewList &gt; li[data-review-id="623923"] .message</x:v>
      </x:c>
      <x:c r="L161" s="14"/>
      <x:c r="M161" s="14" t="str">
        <x:v>f6b4c59378058417e897d9fd66f596aef9020fcae15f072a7c5bbbe6df653c74</x:v>
      </x:c>
      <x:c r="N161" s="17" t="b">
        <x:v>0</x:v>
      </x:c>
      <x:c r="O161" s="14" t="str">
        <x:v>LGE-R5-GROUP-623923</x:v>
      </x:c>
      <x:c r="P161" s="14" t="n">
        <x:v>46302.05827811343</x:v>
      </x:c>
      <x:c r="Q161" s="14" t="str"/>
      <x:c r="R161" s="17" t="b">
        <x:v>0</x:v>
      </x:c>
      <x:c r="S161" s="14" t="str">
        <x:v>fixed18</x:v>
      </x:c>
    </x:row>
    <x:row r="162" ht="48" customHeight="1">
      <x:c r="A162" s="14" t="str">
        <x:v>379735</x:v>
      </x:c>
      <x:c r="B162" s="14" t="str">
        <x:v>dishwasher</x:v>
      </x:c>
      <x:c r="C162" s="14" t="str">
        <x:v>DUE5BGL1E</x:v>
      </x:c>
      <x:c r="D162" s="18"/>
      <x:c r="E162" s="14" t="str">
        <x:v>development</x:v>
      </x:c>
      <x:c r="F162" s="15" t="n">
        <x:v>45828</x:v>
      </x:c>
      <x:c r="G162" s="18"/>
      <x:c r="H162" s="16" t="n">
        <x:v>5</x:v>
      </x:c>
      <x:c r="I162" s="14" t="str">
        <x:v>원하는날짜에 바로 설치 해주셨고 과연 깨끗이 설거지 해줄까 하는 의구심이 있었는데 제가 하는거보다 낫네요</x:v>
      </x:c>
      <x:c r="J162" s="14" t="str">
        <x:v>https://www.lge.co.kr/mkt/review/MD10492841/pdpReviewListPopup</x:v>
      </x:c>
      <x:c r="K162" s="14" t="str">
        <x:v>#divReviewList &gt; li[data-review-id="379735"] .message</x:v>
      </x:c>
      <x:c r="L162" s="14"/>
      <x:c r="M162" s="14" t="str">
        <x:v>572d48fd15d935d8fcdd8d3de9d80d266bd40da194c1a6a6cc87ac039ac5a082</x:v>
      </x:c>
      <x:c r="N162" s="17" t="b">
        <x:v>0</x:v>
      </x:c>
      <x:c r="O162" s="14" t="str">
        <x:v>LGE-R5-GROUP-379735</x:v>
      </x:c>
      <x:c r="P162" s="14" t="n">
        <x:v>46302.05827811343</x:v>
      </x:c>
      <x:c r="Q162" s="14" t="str"/>
      <x:c r="R162" s="17" t="b">
        <x:v>0</x:v>
      </x:c>
      <x:c r="S162" s="14" t="str">
        <x:v>fixed18</x:v>
      </x:c>
    </x:row>
    <x:row r="163" ht="54" customHeight="1">
      <x:c r="A163" s="14" t="str">
        <x:v>861419</x:v>
      </x:c>
      <x:c r="B163" s="14" t="str">
        <x:v>dishwasher</x:v>
      </x:c>
      <x:c r="C163" s="14" t="str">
        <x:v>DUE5BGL1E</x:v>
      </x:c>
      <x:c r="D163" s="18"/>
      <x:c r="E163" s="14" t="str">
        <x:v>demonstration</x:v>
      </x:c>
      <x:c r="F163" s="15" t="n">
        <x:v>46301</x:v>
      </x:c>
      <x:c r="G163" s="18"/>
      <x:c r="H163" s="16" t="n">
        <x:v>5</x:v>
      </x:c>
      <x:c r="I163" s="14" t="str">
        <x:v>잔여물 없이 깨끗하게 닦여요.
아이 물통 닦는게 제일 귀찮았는데
식세기 덕분에 넘 편합니다</x:v>
      </x:c>
      <x:c r="J163" s="14" t="str">
        <x:v>https://www.lge.co.kr/mkt/review/MD10492841/pdpReviewListPopup</x:v>
      </x:c>
      <x:c r="K163" s="14" t="str">
        <x:v>#divReviewList &gt; li[data-review-id="861419"] .message</x:v>
      </x:c>
      <x:c r="L163" s="14"/>
      <x:c r="M163" s="14" t="str">
        <x:v>f3fe2669e149794067875ab138cb940e8410d1d2580bc21d54faf44db67d665a</x:v>
      </x:c>
      <x:c r="N163" s="17" t="b">
        <x:v>0</x:v>
      </x:c>
      <x:c r="O163" s="14" t="str">
        <x:v>LGE-R5-GROUP-861419</x:v>
      </x:c>
      <x:c r="P163" s="14" t="n">
        <x:v>46302.05827811343</x:v>
      </x:c>
      <x:c r="Q163" s="14" t="str"/>
      <x:c r="R163" s="17" t="b">
        <x:v>0</x:v>
      </x:c>
      <x:c r="S163" s="14" t="str">
        <x:v>fixed18</x:v>
      </x:c>
    </x:row>
    <x:row r="164" ht="69" customHeight="1">
      <x:c r="A164" s="14" t="str">
        <x:v>679166</x:v>
      </x:c>
      <x:c r="B164" s="14" t="str">
        <x:v>dishwasher</x:v>
      </x:c>
      <x:c r="C164" s="14" t="str">
        <x:v>DUE5BGE</x:v>
      </x:c>
      <x:c r="D164" s="18"/>
      <x:c r="E164" s="14" t="str">
        <x:v>development</x:v>
      </x:c>
      <x:c r="F164" s="15" t="n">
        <x:v>46108</x:v>
      </x:c>
      <x:c r="G164" s="18"/>
      <x:c r="H164" s="16" t="n">
        <x:v>5</x:v>
      </x:c>
      <x:c r="I164" s="14" t="str">
        <x:v>남편님 절친입니다
젤 큰 장점은 
소리 적어 밤에 눈치 안보고
식세기 돌려서 좋아요</x:v>
      </x:c>
      <x:c r="J164" s="14" t="str">
        <x:v>https://www.lge.co.kr/mkt/review/MD10492839/pdpReviewListPopup</x:v>
      </x:c>
      <x:c r="K164" s="14" t="str">
        <x:v>#divReviewList &gt; li[data-review-id="679166"] .message</x:v>
      </x:c>
      <x:c r="L164" s="14"/>
      <x:c r="M164" s="14" t="str">
        <x:v>9126385ee591b0e6ed3d0e8d3020c07ac45ab67812c82ed0407b96c293d7ae88</x:v>
      </x:c>
      <x:c r="N164" s="17" t="b">
        <x:v>0</x:v>
      </x:c>
      <x:c r="O164" s="14" t="str">
        <x:v>LGE-R5-GROUP-679166</x:v>
      </x:c>
      <x:c r="P164" s="14" t="n">
        <x:v>46302.058293090275</x:v>
      </x:c>
      <x:c r="Q164" s="14" t="str"/>
      <x:c r="R164" s="17" t="b">
        <x:v>0</x:v>
      </x:c>
      <x:c r="S164" s="14" t="str">
        <x:v>fixed18</x:v>
      </x:c>
    </x:row>
    <x:row r="165" ht="48" customHeight="1">
      <x:c r="A165" s="14" t="str">
        <x:v>676298</x:v>
      </x:c>
      <x:c r="B165" s="14" t="str">
        <x:v>dishwasher</x:v>
      </x:c>
      <x:c r="C165" s="14" t="str">
        <x:v>DUE5BGE</x:v>
      </x:c>
      <x:c r="D165" s="18"/>
      <x:c r="E165" s="14" t="str">
        <x:v>development</x:v>
      </x:c>
      <x:c r="F165" s="15" t="n">
        <x:v>46105</x:v>
      </x:c>
      <x:c r="G165" s="18"/>
      <x:c r="H165" s="16" t="n">
        <x:v>5</x:v>
      </x:c>
      <x:c r="I165" s="14" t="str">
        <x:v>기름기도 잘씻기고 사람손으로 하는거보다 꼼꼼한거같아요 너무편해요!</x:v>
      </x:c>
      <x:c r="J165" s="14" t="str">
        <x:v>https://www.lge.co.kr/mkt/review/MD10492839/pdpReviewListPopup</x:v>
      </x:c>
      <x:c r="K165" s="14" t="str">
        <x:v>#divReviewList &gt; li[data-review-id="676298"] .message</x:v>
      </x:c>
      <x:c r="L165" s="14"/>
      <x:c r="M165" s="14" t="str">
        <x:v>531fa801837240d1286006784fc72ed72225a08a10d0c6c9ff8bcec70311f94b</x:v>
      </x:c>
      <x:c r="N165" s="17" t="b">
        <x:v>0</x:v>
      </x:c>
      <x:c r="O165" s="14" t="str">
        <x:v>LGE-R5-GROUP-676298</x:v>
      </x:c>
      <x:c r="P165" s="14" t="n">
        <x:v>46302.058293090275</x:v>
      </x:c>
      <x:c r="Q165" s="14" t="str"/>
      <x:c r="R165" s="17" t="b">
        <x:v>0</x:v>
      </x:c>
      <x:c r="S165" s="14" t="str">
        <x:v>fixed18</x:v>
      </x:c>
    </x:row>
    <x:row r="166" ht="48" customHeight="1">
      <x:c r="A166" s="14" t="str">
        <x:v>417611</x:v>
      </x:c>
      <x:c r="B166" s="14" t="str">
        <x:v>dishwasher</x:v>
      </x:c>
      <x:c r="C166" s="14" t="str">
        <x:v>DUE5BGE</x:v>
      </x:c>
      <x:c r="D166" s="18"/>
      <x:c r="E166" s="14" t="str">
        <x:v>demonstration</x:v>
      </x:c>
      <x:c r="F166" s="15" t="n">
        <x:v>45858</x:v>
      </x:c>
      <x:c r="G166" s="18"/>
      <x:c r="H166" s="16" t="n">
        <x:v>5</x:v>
      </x:c>
      <x:c r="I166" s="14" t="str">
        <x:v>새집으로 이사오면서 구입했는데 만족합니다! 잘쓰겠습니다 감사합니다</x:v>
      </x:c>
      <x:c r="J166" s="14" t="str">
        <x:v>https://www.lge.co.kr/mkt/review/MD10492839/pdpReviewListPopup</x:v>
      </x:c>
      <x:c r="K166" s="14" t="str">
        <x:v>#divReviewList &gt; li[data-review-id="417611"] .message</x:v>
      </x:c>
      <x:c r="L166" s="14"/>
      <x:c r="M166" s="14" t="str">
        <x:v>2adec263a5ce87dd4bf56778b7c9652b9d57511f892bbd985d4f985a096bd393</x:v>
      </x:c>
      <x:c r="N166" s="17" t="b">
        <x:v>0</x:v>
      </x:c>
      <x:c r="O166" s="14" t="str">
        <x:v>LGE-R5-GROUP-417611</x:v>
      </x:c>
      <x:c r="P166" s="14" t="n">
        <x:v>46302.058293090275</x:v>
      </x:c>
      <x:c r="Q166" s="14" t="str"/>
      <x:c r="R166" s="17" t="b">
        <x:v>0</x:v>
      </x:c>
      <x:c r="S166" s="14" t="str">
        <x:v>fixed18</x:v>
      </x:c>
    </x:row>
    <x:row r="167" ht="48" customHeight="1">
      <x:c r="A167" s="14" t="str">
        <x:v>858043</x:v>
      </x:c>
      <x:c r="B167" s="14" t="str">
        <x:v>dishwasher</x:v>
      </x:c>
      <x:c r="C167" s="14" t="str">
        <x:v>DUE5BGE</x:v>
      </x:c>
      <x:c r="D167" s="18"/>
      <x:c r="E167" s="14" t="str">
        <x:v>development</x:v>
      </x:c>
      <x:c r="F167" s="15" t="n">
        <x:v>46297</x:v>
      </x:c>
      <x:c r="G167" s="18"/>
      <x:c r="H167" s="16" t="n">
        <x:v>5</x:v>
      </x:c>
      <x:c r="I167" s="14" t="str">
        <x:v>소음이 거의 없고 세척 완료시 자동 문열림 자연건조가 너무 편하고 좋아요!
단차도 딱 맞게 잘 설치해주십니다!</x:v>
      </x:c>
      <x:c r="J167" s="14" t="str">
        <x:v>https://www.lge.co.kr/mkt/review/MD10492839/pdpReviewListPopup</x:v>
      </x:c>
      <x:c r="K167" s="14" t="str">
        <x:v>#divReviewList &gt; li[data-review-id="858043"] .message</x:v>
      </x:c>
      <x:c r="L167" s="14"/>
      <x:c r="M167" s="14" t="str">
        <x:v>d1a58d25bf7e332070e49496020049d29b3761e9b3a4e7c8544fd4cca84512dc</x:v>
      </x:c>
      <x:c r="N167" s="17" t="b">
        <x:v>0</x:v>
      </x:c>
      <x:c r="O167" s="14" t="str">
        <x:v>LGE-R5-GROUP-858043</x:v>
      </x:c>
      <x:c r="P167" s="14" t="n">
        <x:v>46302.058293090275</x:v>
      </x:c>
      <x:c r="Q167" s="14" t="str"/>
      <x:c r="R167" s="17" t="b">
        <x:v>0</x:v>
      </x:c>
      <x:c r="S167" s="14" t="str">
        <x:v>fixed18</x:v>
      </x:c>
    </x:row>
    <x:row r="168" ht="48" customHeight="1">
      <x:c r="A168" s="14" t="str">
        <x:v>851144</x:v>
      </x:c>
      <x:c r="B168" s="14" t="str">
        <x:v>dishwasher</x:v>
      </x:c>
      <x:c r="C168" s="14" t="str">
        <x:v>DUE5BGE</x:v>
      </x:c>
      <x:c r="D168" s="18"/>
      <x:c r="E168" s="14" t="str">
        <x:v>development</x:v>
      </x:c>
      <x:c r="F168" s="15" t="n">
        <x:v>46288</x:v>
      </x:c>
      <x:c r="G168" s="18"/>
      <x:c r="H168" s="16" t="n">
        <x:v>5</x:v>
      </x:c>
      <x:c r="I168" s="14" t="str">
        <x:v>처음엔 필요성을 못느끼다가 한번 사용하면 벗어날 수 없어요. 너무 좋아요 스마트폰과 연동되어 편하게 사용 가능하고 간편하고 정말 깨끗하게 잘됩니다. 역시 엘지 강추!</x:v>
      </x:c>
      <x:c r="J168" s="14" t="str">
        <x:v>https://www.lge.co.kr/mkt/review/MD10492839/pdpReviewListPopup</x:v>
      </x:c>
      <x:c r="K168" s="14" t="str">
        <x:v>#divReviewList &gt; li[data-review-id="851144"] .message</x:v>
      </x:c>
      <x:c r="L168" s="14"/>
      <x:c r="M168" s="14" t="str">
        <x:v>bf7c73f11168ef64cc65bab3b5deca3a8f773dbe4bafdc3f3ff6bf4978187c16</x:v>
      </x:c>
      <x:c r="N168" s="17" t="b">
        <x:v>0</x:v>
      </x:c>
      <x:c r="O168" s="14" t="str">
        <x:v>LGE-R5-GROUP-851144</x:v>
      </x:c>
      <x:c r="P168" s="14" t="n">
        <x:v>46302.058293090275</x:v>
      </x:c>
      <x:c r="Q168" s="14" t="str"/>
      <x:c r="R168" s="17" t="b">
        <x:v>0</x:v>
      </x:c>
      <x:c r="S168" s="14" t="str">
        <x:v>fixed18</x:v>
      </x:c>
    </x:row>
    <x:row r="169" ht="48" customHeight="1">
      <x:c r="A169" s="14" t="str">
        <x:v>847411</x:v>
      </x:c>
      <x:c r="B169" s="14" t="str">
        <x:v>dishwasher</x:v>
      </x:c>
      <x:c r="C169" s="14" t="str">
        <x:v>DUE5BGE</x:v>
      </x:c>
      <x:c r="D169" s="18"/>
      <x:c r="E169" s="14" t="str">
        <x:v>development</x:v>
      </x:c>
      <x:c r="F169" s="15" t="n">
        <x:v>46282</x:v>
      </x:c>
      <x:c r="G169" s="18"/>
      <x:c r="H169" s="16" t="n">
        <x:v>5</x:v>
      </x:c>
      <x:c r="I169" s="14" t="str">
        <x:v>신혼가전으로 엘지에서 식세기를 구입했는데 너무 만족하면서 사용하고 있습니다 ^^</x:v>
      </x:c>
      <x:c r="J169" s="14" t="str">
        <x:v>https://www.lge.co.kr/mkt/review/MD10492839/pdpReviewListPopup</x:v>
      </x:c>
      <x:c r="K169" s="14" t="str">
        <x:v>#divReviewList &gt; li[data-review-id="847411"] .message</x:v>
      </x:c>
      <x:c r="L169" s="14"/>
      <x:c r="M169" s="14" t="str">
        <x:v>bfef36e0f2826df86963f854aa92afa9cb7a50035867e8c07949df1c1b0c7f09</x:v>
      </x:c>
      <x:c r="N169" s="17" t="b">
        <x:v>0</x:v>
      </x:c>
      <x:c r="O169" s="14" t="str">
        <x:v>LGE-R5-GROUP-847411</x:v>
      </x:c>
      <x:c r="P169" s="14" t="n">
        <x:v>46302.058293090275</x:v>
      </x:c>
      <x:c r="Q169" s="14" t="str"/>
      <x:c r="R169" s="17" t="b">
        <x:v>0</x:v>
      </x:c>
      <x:c r="S169" s="14" t="str">
        <x:v>fixed18</x:v>
      </x:c>
    </x:row>
    <x:row r="170" ht="48" customHeight="1">
      <x:c r="A170" s="14" t="str">
        <x:v>840693</x:v>
      </x:c>
      <x:c r="B170" s="14" t="str">
        <x:v>dishwasher</x:v>
      </x:c>
      <x:c r="C170" s="14" t="str">
        <x:v>DUE5BGE</x:v>
      </x:c>
      <x:c r="D170" s="18"/>
      <x:c r="E170" s="14" t="str">
        <x:v>development</x:v>
      </x:c>
      <x:c r="F170" s="15" t="n">
        <x:v>46274</x:v>
      </x:c>
      <x:c r="G170" s="18"/>
      <x:c r="H170" s="16" t="n">
        <x:v>5</x:v>
      </x:c>
      <x:c r="I170" s="14" t="str">
        <x:v>디자인도 깔끔하고 사용법은 간단한데 기능이 알차서 너무 좋아요</x:v>
      </x:c>
      <x:c r="J170" s="14" t="str">
        <x:v>https://www.lge.co.kr/mkt/review/MD10492839/pdpReviewListPopup</x:v>
      </x:c>
      <x:c r="K170" s="14" t="str">
        <x:v>#divReviewList &gt; li[data-review-id="840693"] .message</x:v>
      </x:c>
      <x:c r="L170" s="14"/>
      <x:c r="M170" s="14" t="str">
        <x:v>6b32d9a9b00a1667fc2e8aa6f0cd94c01dee795b7d14365620d8f3fbd0bfab8a</x:v>
      </x:c>
      <x:c r="N170" s="17" t="b">
        <x:v>0</x:v>
      </x:c>
      <x:c r="O170" s="14" t="str">
        <x:v>LGE-R5-GROUP-840693</x:v>
      </x:c>
      <x:c r="P170" s="14" t="n">
        <x:v>46302.058293090275</x:v>
      </x:c>
      <x:c r="Q170" s="14" t="str"/>
      <x:c r="R170" s="17" t="b">
        <x:v>0</x:v>
      </x:c>
      <x:c r="S170" s="14" t="str">
        <x:v>fixed18</x:v>
      </x:c>
    </x:row>
    <x:row r="171" ht="48" customHeight="1">
      <x:c r="A171" s="14" t="str">
        <x:v>839646</x:v>
      </x:c>
      <x:c r="B171" s="14" t="str">
        <x:v>dishwasher</x:v>
      </x:c>
      <x:c r="C171" s="14" t="str">
        <x:v>DUE5BGE</x:v>
      </x:c>
      <x:c r="D171" s="18"/>
      <x:c r="E171" s="14" t="str">
        <x:v>development</x:v>
      </x:c>
      <x:c r="F171" s="15" t="n">
        <x:v>46272</x:v>
      </x:c>
      <x:c r="G171" s="18"/>
      <x:c r="H171" s="16" t="n">
        <x:v>5</x:v>
      </x:c>
      <x:c r="I171" s="14" t="str">
        <x:v>내부가 충분히 넓어서 집들이 후 1번이면 충분히 설거지가 됨.</x:v>
      </x:c>
      <x:c r="J171" s="14" t="str">
        <x:v>https://www.lge.co.kr/mkt/review/MD10492839/pdpReviewListPopup</x:v>
      </x:c>
      <x:c r="K171" s="14" t="str">
        <x:v>#divReviewList &gt; li[data-review-id="839646"] .message</x:v>
      </x:c>
      <x:c r="L171" s="14"/>
      <x:c r="M171" s="14" t="str">
        <x:v>313056abc0e2d22455bb99c5575f196b9ec2cfc67d870ecb50012cbf79411e70</x:v>
      </x:c>
      <x:c r="N171" s="17" t="b">
        <x:v>0</x:v>
      </x:c>
      <x:c r="O171" s="14" t="str">
        <x:v>LGE-R5-GROUP-839646</x:v>
      </x:c>
      <x:c r="P171" s="14" t="n">
        <x:v>46302.058293090275</x:v>
      </x:c>
      <x:c r="Q171" s="14" t="str"/>
      <x:c r="R171" s="17" t="b">
        <x:v>0</x:v>
      </x:c>
      <x:c r="S171" s="14" t="str">
        <x:v>fixed18</x:v>
      </x:c>
    </x:row>
    <x:row r="172" ht="48" customHeight="1">
      <x:c r="A172" s="14" t="str">
        <x:v>835424</x:v>
      </x:c>
      <x:c r="B172" s="14" t="str">
        <x:v>dishwasher</x:v>
      </x:c>
      <x:c r="C172" s="14" t="str">
        <x:v>DUE5BGE</x:v>
      </x:c>
      <x:c r="D172" s="18"/>
      <x:c r="E172" s="14" t="str">
        <x:v>development</x:v>
      </x:c>
      <x:c r="F172" s="15" t="n">
        <x:v>46267</x:v>
      </x:c>
      <x:c r="G172" s="18"/>
      <x:c r="H172" s="16" t="n">
        <x:v>5</x:v>
      </x:c>
      <x:c r="I172" s="14" t="str">
        <x:v>이사 가면서 lg제품으로 다 구입했어요 예쁘기도하고 앱으로 편하게 사용하고 있어요
잘 설치해주셔서 만족하고 쓰고 있어요</x:v>
      </x:c>
      <x:c r="J172" s="14" t="str">
        <x:v>https://www.lge.co.kr/mkt/review/MD10492839/pdpReviewListPopup</x:v>
      </x:c>
      <x:c r="K172" s="14" t="str">
        <x:v>#divReviewList &gt; li[data-review-id="835424"] .message</x:v>
      </x:c>
      <x:c r="L172" s="14"/>
      <x:c r="M172" s="14" t="str">
        <x:v>6d4b507460dfa2ef87052ed718bcf1ff3563e4c3ada4daccce41eaf8a83a0ff9</x:v>
      </x:c>
      <x:c r="N172" s="17" t="b">
        <x:v>0</x:v>
      </x:c>
      <x:c r="O172" s="14" t="str">
        <x:v>LGE-R5-GROUP-835424</x:v>
      </x:c>
      <x:c r="P172" s="14" t="n">
        <x:v>46302.058293090275</x:v>
      </x:c>
      <x:c r="Q172" s="14" t="str"/>
      <x:c r="R172" s="17" t="b">
        <x:v>0</x:v>
      </x:c>
      <x:c r="S172" s="14" t="str">
        <x:v>fixed18</x:v>
      </x:c>
    </x:row>
    <x:row r="173" ht="48" customHeight="1">
      <x:c r="A173" s="14" t="str">
        <x:v>830001</x:v>
      </x:c>
      <x:c r="B173" s="14" t="str">
        <x:v>dishwasher</x:v>
      </x:c>
      <x:c r="C173" s="14" t="str">
        <x:v>DUE5BGE</x:v>
      </x:c>
      <x:c r="D173" s="18"/>
      <x:c r="E173" s="14" t="str">
        <x:v>demonstration</x:v>
      </x:c>
      <x:c r="F173" s="15" t="n">
        <x:v>46261</x:v>
      </x:c>
      <x:c r="G173" s="18"/>
      <x:c r="H173" s="16" t="n">
        <x:v>5</x:v>
      </x:c>
      <x:c r="I173" s="14" t="str">
        <x:v>식세기 너무 좋아요 애벌 할 필요도 없고 
안샀으면 후회할 가전입니다</x:v>
      </x:c>
      <x:c r="J173" s="14" t="str">
        <x:v>https://www.lge.co.kr/mkt/review/MD10492839/pdpReviewListPopup</x:v>
      </x:c>
      <x:c r="K173" s="14" t="str">
        <x:v>#divReviewList &gt; li[data-review-id="830001"] .message</x:v>
      </x:c>
      <x:c r="L173" s="14"/>
      <x:c r="M173" s="14" t="str">
        <x:v>5824803f31b48c7ca4f753e929f774da8f9225a8e26b77995281042a6f3f7f9b</x:v>
      </x:c>
      <x:c r="N173" s="17" t="b">
        <x:v>0</x:v>
      </x:c>
      <x:c r="O173" s="14" t="str">
        <x:v>LGE-R5-GROUP-830001</x:v>
      </x:c>
      <x:c r="P173" s="14" t="n">
        <x:v>46302.058293090275</x:v>
      </x:c>
      <x:c r="Q173" s="14" t="str"/>
      <x:c r="R173" s="17" t="b">
        <x:v>0</x:v>
      </x:c>
      <x:c r="S173" s="14" t="str">
        <x:v>fixed18</x:v>
      </x:c>
    </x:row>
    <x:row r="174" ht="48" customHeight="1">
      <x:c r="A174" s="14" t="str">
        <x:v>800073</x:v>
      </x:c>
      <x:c r="B174" s="14" t="str">
        <x:v>dishwasher</x:v>
      </x:c>
      <x:c r="C174" s="14" t="str">
        <x:v>DFE5BGE</x:v>
      </x:c>
      <x:c r="D174" s="18"/>
      <x:c r="E174" s="14" t="str">
        <x:v>development</x:v>
      </x:c>
      <x:c r="F174" s="15" t="n">
        <x:v>46229</x:v>
      </x:c>
      <x:c r="G174" s="18"/>
      <x:c r="H174" s="16" t="n">
        <x:v>5</x:v>
      </x:c>
      <x:c r="I174" s="14" t="str">
        <x:v>소음도 적고 세척력도 좋아 가사노동에서 많은 시간을 절약할 수 있게 되어 정말 편하고 좋습니다. 기사님께서 친절하고 자세히 설명해주시고 설치도 해 주셔서 만족스러웠습니다.</x:v>
      </x:c>
      <x:c r="J174" s="14" t="str">
        <x:v>https://www.lge.co.kr/mkt/review/MD10492840/pdpReviewListPopup</x:v>
      </x:c>
      <x:c r="K174" s="14" t="str">
        <x:v>#divReviewList &gt; li[data-review-id="800073"] .message</x:v>
      </x:c>
      <x:c r="L174" s="14"/>
      <x:c r="M174" s="14" t="str">
        <x:v>8e1c7d0a302e972e55a9f6dfee26454239a2696a164e2b43a63bf77543e4c1d2</x:v>
      </x:c>
      <x:c r="N174" s="17" t="b">
        <x:v>0</x:v>
      </x:c>
      <x:c r="O174" s="14" t="str">
        <x:v>LGE-R5-GROUP-800073</x:v>
      </x:c>
      <x:c r="P174" s="14" t="n">
        <x:v>46302.05830862268</x:v>
      </x:c>
      <x:c r="Q174" s="14" t="str"/>
      <x:c r="R174" s="17" t="b">
        <x:v>0</x:v>
      </x:c>
      <x:c r="S174" s="14" t="str">
        <x:v>fixed18</x:v>
      </x:c>
    </x:row>
    <x:row r="175" ht="48" customHeight="1">
      <x:c r="A175" s="14" t="str">
        <x:v>738414</x:v>
      </x:c>
      <x:c r="B175" s="14" t="str">
        <x:v>dishwasher</x:v>
      </x:c>
      <x:c r="C175" s="14" t="str">
        <x:v>DFE5BGE</x:v>
      </x:c>
      <x:c r="D175" s="18"/>
      <x:c r="E175" s="14" t="str">
        <x:v>development</x:v>
      </x:c>
      <x:c r="F175" s="15" t="n">
        <x:v>46171</x:v>
      </x:c>
      <x:c r="G175" s="18"/>
      <x:c r="H175" s="16" t="n">
        <x:v>5</x:v>
      </x:c>
      <x:c r="I175" s="14" t="str">
        <x:v>색상은 좀 괜찮아 보입니다 소리가 조금 더 있지만 그래도 잘 사용하고 있습니다 
LG제품 출고 일정 확인 설치하고 제품으로 잘 받았습니다</x:v>
      </x:c>
      <x:c r="J175" s="14" t="str">
        <x:v>https://www.lge.co.kr/mkt/review/MD10492840/pdpReviewListPopup</x:v>
      </x:c>
      <x:c r="K175" s="14" t="str">
        <x:v>#divReviewList &gt; li[data-review-id="738414"] .message</x:v>
      </x:c>
      <x:c r="L175" s="14"/>
      <x:c r="M175" s="14" t="str">
        <x:v>9b838e6f5490bd23bf3a970a3b2d3c878844fe669e18f4efeb946abdd7746c00</x:v>
      </x:c>
      <x:c r="N175" s="17" t="b">
        <x:v>0</x:v>
      </x:c>
      <x:c r="O175" s="14" t="str">
        <x:v>LGE-R5-GROUP-738414</x:v>
      </x:c>
      <x:c r="P175" s="14" t="n">
        <x:v>46302.05830862268</x:v>
      </x:c>
      <x:c r="Q175" s="14" t="str"/>
      <x:c r="R175" s="17" t="b">
        <x:v>0</x:v>
      </x:c>
      <x:c r="S175" s="14" t="str">
        <x:v>fixed18</x:v>
      </x:c>
    </x:row>
    <x:row r="176" ht="48" customHeight="1">
      <x:c r="A176" s="14" t="str">
        <x:v>860042</x:v>
      </x:c>
      <x:c r="B176" s="14" t="str">
        <x:v>dishwasher</x:v>
      </x:c>
      <x:c r="C176" s="14" t="str">
        <x:v>DFE5BGE</x:v>
      </x:c>
      <x:c r="D176" s="18"/>
      <x:c r="E176" s="14" t="str">
        <x:v>independent_evaluation</x:v>
      </x:c>
      <x:c r="F176" s="15" t="n">
        <x:v>46299</x:v>
      </x:c>
      <x:c r="G176" s="18"/>
      <x:c r="H176" s="16" t="n">
        <x:v>5</x:v>
      </x:c>
      <x:c r="I176" s="14" t="str">
        <x:v>설거지옥에서 탈출하기 위한 합리적이고 정당한 구매!
다들 지옥에서 탈출하세요</x:v>
      </x:c>
      <x:c r="J176" s="14" t="str">
        <x:v>https://www.lge.co.kr/mkt/review/MD10492840/pdpReviewListPopup</x:v>
      </x:c>
      <x:c r="K176" s="14" t="str">
        <x:v>#divReviewList &gt; li[data-review-id="860042"] .message</x:v>
      </x:c>
      <x:c r="L176" s="14"/>
      <x:c r="M176" s="14" t="str">
        <x:v>982e84dae7752d82ad94c1f4a0156d517e327fde01b0f8219f2f1650847c8584</x:v>
      </x:c>
      <x:c r="N176" s="17" t="b">
        <x:v>0</x:v>
      </x:c>
      <x:c r="O176" s="14" t="str">
        <x:v>LGE-R5-GROUP-860042</x:v>
      </x:c>
      <x:c r="P176" s="14" t="n">
        <x:v>46302.05830862268</x:v>
      </x:c>
      <x:c r="Q176" s="14" t="str"/>
      <x:c r="R176" s="17" t="b">
        <x:v>0</x:v>
      </x:c>
      <x:c r="S176" s="14" t="str">
        <x:v>fixed18</x:v>
      </x:c>
    </x:row>
    <x:row r="177" ht="84" customHeight="1">
      <x:c r="A177" s="14" t="str">
        <x:v>829971</x:v>
      </x:c>
      <x:c r="B177" s="14" t="str">
        <x:v>dishwasher</x:v>
      </x:c>
      <x:c r="C177" s="14" t="str">
        <x:v>DFE5BGE</x:v>
      </x:c>
      <x:c r="D177" s="18"/>
      <x:c r="E177" s="14" t="str">
        <x:v>quarantine</x:v>
      </x:c>
      <x:c r="F177" s="15" t="n">
        <x:v>46261</x:v>
      </x:c>
      <x:c r="G177" s="18"/>
      <x:c r="H177" s="16" t="n">
        <x:v>5</x:v>
      </x:c>
      <x:c r="I177" s="14" t="str">
        <x:v>LG 12인용 식기세척기를 설치하고 사용해보니 생각했던 것보다 훨씬 만족스럽습니다. 넉넉한 12인용이라 한 번에 많은 식기를 넣을 수 있어 설거지하는 시간이 확실히 줄었고, 세척 후에는 깨끗하고 깔끔하게 마무리되어 만족스럽습니다. 특히 기름기가 있는 그릇이나 냄비도 손설거지로 일일이 닦는 것보다 편리해서 좋았습니다. 작동 소음도 크게 거슬리지 않고 주방에 깔끔하게 빌트인되어 디자인도 마음에 듭니다. 매일 반복되는 설거지 부담을 크게 줄여주는 제품이라 정말 잘 샀다는 생각이 들고, 주변에서 식기세척기를 고민한다면 LG 12인용을 추천하고 싶습니다.</x:v>
      </x:c>
      <x:c r="J177" s="14" t="str">
        <x:v>https://www.lge.co.kr/mkt/review/MD10492840/pdpReviewListPopup</x:v>
      </x:c>
      <x:c r="K177" s="14" t="str">
        <x:v>#divReviewList &gt; li[data-review-id="829971"] .message</x:v>
      </x:c>
      <x:c r="L177" s="14"/>
      <x:c r="M177" s="14" t="str">
        <x:v>18f46a568d51afb360e566b898ef110a9538c4aea9789ff97b03e1faf475ace1</x:v>
      </x:c>
      <x:c r="N177" s="17" t="b">
        <x:v>0</x:v>
      </x:c>
      <x:c r="O177" s="14" t="str">
        <x:v>LGE-R5-GROUP-829971</x:v>
      </x:c>
      <x:c r="P177" s="14" t="n">
        <x:v>46302.05830862268</x:v>
      </x:c>
      <x:c r="Q177" s="14" t="str">
        <x:v>displayed_capacity_and_installation_text_conflict</x:v>
      </x:c>
      <x:c r="R177" s="17" t="b">
        <x:v>0</x:v>
      </x:c>
      <x:c r="S177" s="14" t="str">
        <x:v>fixed18</x:v>
      </x:c>
    </x:row>
    <x:row r="178" ht="48" customHeight="1">
      <x:c r="A178" s="14" t="str">
        <x:v>826452</x:v>
      </x:c>
      <x:c r="B178" s="14" t="str">
        <x:v>dishwasher</x:v>
      </x:c>
      <x:c r="C178" s="14" t="str">
        <x:v>DFE5BGE</x:v>
      </x:c>
      <x:c r="D178" s="18"/>
      <x:c r="E178" s="14" t="str">
        <x:v>development</x:v>
      </x:c>
      <x:c r="F178" s="15" t="n">
        <x:v>46257</x:v>
      </x:c>
      <x:c r="G178" s="18"/>
      <x:c r="H178" s="16" t="n">
        <x:v>5</x:v>
      </x:c>
      <x:c r="I178" s="14" t="str">
        <x:v>디자인이 깔끔하고 기능이 좋아요. 프리스탠딩이라 공간 제약없이 살치할 수 있는게 좋았습니다.</x:v>
      </x:c>
      <x:c r="J178" s="14" t="str">
        <x:v>https://www.lge.co.kr/mkt/review/MD10492840/pdpReviewListPopup</x:v>
      </x:c>
      <x:c r="K178" s="14" t="str">
        <x:v>#divReviewList &gt; li[data-review-id="826452"] .message</x:v>
      </x:c>
      <x:c r="L178" s="14"/>
      <x:c r="M178" s="14" t="str">
        <x:v>2157009918781963b4ac54ed03490eade36ebe2eab1ba4586cc298ea97dd5b7d</x:v>
      </x:c>
      <x:c r="N178" s="17" t="b">
        <x:v>0</x:v>
      </x:c>
      <x:c r="O178" s="14" t="str">
        <x:v>LGE-R5-GROUP-826452</x:v>
      </x:c>
      <x:c r="P178" s="14" t="n">
        <x:v>46302.05830862268</x:v>
      </x:c>
      <x:c r="Q178" s="14" t="str"/>
      <x:c r="R178" s="17" t="b">
        <x:v>0</x:v>
      </x:c>
      <x:c r="S178" s="14" t="str">
        <x:v>fixed18</x:v>
      </x:c>
    </x:row>
    <x:row r="179" ht="48" customHeight="1">
      <x:c r="A179" s="14" t="str">
        <x:v>824618</x:v>
      </x:c>
      <x:c r="B179" s="14" t="str">
        <x:v>dishwasher</x:v>
      </x:c>
      <x:c r="C179" s="14" t="str">
        <x:v>DFE5BGE</x:v>
      </x:c>
      <x:c r="D179" s="18"/>
      <x:c r="E179" s="14" t="str">
        <x:v>development</x:v>
      </x:c>
      <x:c r="F179" s="15" t="n">
        <x:v>46255</x:v>
      </x:c>
      <x:c r="G179" s="18"/>
      <x:c r="H179" s="16" t="n">
        <x:v>5</x:v>
      </x:c>
      <x:c r="I179" s="14" t="str">
        <x:v>예전에 쓰던 타사 식세기보다 성능도 좋고 많이 넣을 수 있어서 좋았습니다</x:v>
      </x:c>
      <x:c r="J179" s="14" t="str">
        <x:v>https://www.lge.co.kr/mkt/review/MD10492840/pdpReviewListPopup</x:v>
      </x:c>
      <x:c r="K179" s="14" t="str">
        <x:v>#divReviewList &gt; li[data-review-id="824618"] .message</x:v>
      </x:c>
      <x:c r="L179" s="14"/>
      <x:c r="M179" s="14" t="str">
        <x:v>d8400ed3c44e63f0b1487f0e89baee932d84728a1e8cbf2d59f9be02cc00e2dc</x:v>
      </x:c>
      <x:c r="N179" s="17" t="b">
        <x:v>0</x:v>
      </x:c>
      <x:c r="O179" s="14" t="str">
        <x:v>LGE-R5-GROUP-824618</x:v>
      </x:c>
      <x:c r="P179" s="14" t="n">
        <x:v>46302.05830862268</x:v>
      </x:c>
      <x:c r="Q179" s="14" t="str"/>
      <x:c r="R179" s="17" t="b">
        <x:v>0</x:v>
      </x:c>
      <x:c r="S179" s="14" t="str">
        <x:v>fixed18</x:v>
      </x:c>
    </x:row>
    <x:row r="180" ht="48" customHeight="1">
      <x:c r="A180" s="14" t="str">
        <x:v>816523</x:v>
      </x:c>
      <x:c r="B180" s="14" t="str">
        <x:v>dishwasher</x:v>
      </x:c>
      <x:c r="C180" s="14" t="str">
        <x:v>DFE5BGE</x:v>
      </x:c>
      <x:c r="D180" s="18"/>
      <x:c r="E180" s="14" t="str">
        <x:v>demonstration</x:v>
      </x:c>
      <x:c r="F180" s="15" t="n">
        <x:v>46245</x:v>
      </x:c>
      <x:c r="G180" s="18"/>
      <x:c r="H180" s="16" t="n">
        <x:v>5</x:v>
      </x:c>
      <x:c r="I180" s="14" t="str">
        <x:v>돈이 시간을 아껴주는 진짜 늦게산거후회중이에요 
조금 겹치게 그릇 놔둬도 다 잘닦임</x:v>
      </x:c>
      <x:c r="J180" s="14" t="str">
        <x:v>https://www.lge.co.kr/mkt/review/MD10492840/pdpReviewListPopup</x:v>
      </x:c>
      <x:c r="K180" s="14" t="str">
        <x:v>#divReviewList &gt; li[data-review-id="816523"] .message</x:v>
      </x:c>
      <x:c r="L180" s="14"/>
      <x:c r="M180" s="14" t="str">
        <x:v>1cc667d4914a6a2a385ee54494a12df1e7668e3addfeda61ef4b7bd2ab726e9e</x:v>
      </x:c>
      <x:c r="N180" s="17" t="b">
        <x:v>0</x:v>
      </x:c>
      <x:c r="O180" s="14" t="str">
        <x:v>LGE-R5-GROUP-816523</x:v>
      </x:c>
      <x:c r="P180" s="14" t="n">
        <x:v>46302.05830862268</x:v>
      </x:c>
      <x:c r="Q180" s="14" t="str"/>
      <x:c r="R180" s="17" t="b">
        <x:v>0</x:v>
      </x:c>
      <x:c r="S180" s="14" t="str">
        <x:v>fixed18</x:v>
      </x:c>
    </x:row>
    <x:row r="181" ht="48" customHeight="1">
      <x:c r="A181" s="14" t="str">
        <x:v>796838</x:v>
      </x:c>
      <x:c r="B181" s="14" t="str">
        <x:v>dishwasher</x:v>
      </x:c>
      <x:c r="C181" s="14" t="str">
        <x:v>DFE5BGE</x:v>
      </x:c>
      <x:c r="D181" s="18"/>
      <x:c r="E181" s="14" t="str">
        <x:v>independent_evaluation</x:v>
      </x:c>
      <x:c r="F181" s="15" t="n">
        <x:v>46225</x:v>
      </x:c>
      <x:c r="G181" s="18"/>
      <x:c r="H181" s="16" t="n">
        <x:v>5</x:v>
      </x:c>
      <x:c r="I181" s="14" t="str">
        <x:v>결혼 25년!!
신혼의 기분으로 새롭게 가전을 구입했습니다. 식기세척기 너무 좋은 것 같아요.</x:v>
      </x:c>
      <x:c r="J181" s="14" t="str">
        <x:v>https://www.lge.co.kr/mkt/review/MD10492840/pdpReviewListPopup</x:v>
      </x:c>
      <x:c r="K181" s="14" t="str">
        <x:v>#divReviewList &gt; li[data-review-id="796838"] .message</x:v>
      </x:c>
      <x:c r="L181" s="14"/>
      <x:c r="M181" s="14" t="str">
        <x:v>67fe083afe64e6676e5d7417370c17400ab6e92b09a68380b4c5305413826666</x:v>
      </x:c>
      <x:c r="N181" s="17" t="b">
        <x:v>0</x:v>
      </x:c>
      <x:c r="O181" s="14" t="str">
        <x:v>LGE-R5-GROUP-796838</x:v>
      </x:c>
      <x:c r="P181" s="14" t="n">
        <x:v>46302.05830862268</x:v>
      </x:c>
      <x:c r="Q181" s="14" t="str"/>
      <x:c r="R181" s="17" t="b">
        <x:v>0</x:v>
      </x:c>
      <x:c r="S181" s="14" t="str">
        <x:v>fixed18</x:v>
      </x:c>
    </x:row>
    <x:row r="182" ht="48" customHeight="1">
      <x:c r="A182" s="14" t="str">
        <x:v>790796</x:v>
      </x:c>
      <x:c r="B182" s="14" t="str">
        <x:v>dishwasher</x:v>
      </x:c>
      <x:c r="C182" s="14" t="str">
        <x:v>DFE5BGE</x:v>
      </x:c>
      <x:c r="D182" s="18"/>
      <x:c r="E182" s="14" t="str">
        <x:v>development</x:v>
      </x:c>
      <x:c r="F182" s="15" t="n">
        <x:v>46220</x:v>
      </x:c>
      <x:c r="G182" s="18"/>
      <x:c r="H182" s="16" t="n">
        <x:v>5</x:v>
      </x:c>
      <x:c r="I182" s="14" t="str">
        <x:v>빌트인으로 설치할 수 없어서 스탠드형으로 구독하게되었어요~ 스탠드형이라도 깔끔하게 잘 설치해주시고 구독으로 케어도 받으니 좋습니다!</x:v>
      </x:c>
      <x:c r="J182" s="14" t="str">
        <x:v>https://www.lge.co.kr/mkt/review/MD10492840/pdpReviewListPopup</x:v>
      </x:c>
      <x:c r="K182" s="14" t="str">
        <x:v>#divReviewList &gt; li[data-review-id="790796"] .message</x:v>
      </x:c>
      <x:c r="L182" s="14"/>
      <x:c r="M182" s="14" t="str">
        <x:v>9581522254058b6c75874f8301f66ad79d3985007f2fdae41d029bec5ec91edd</x:v>
      </x:c>
      <x:c r="N182" s="17" t="b">
        <x:v>0</x:v>
      </x:c>
      <x:c r="O182" s="14" t="str">
        <x:v>LGE-R5-GROUP-790796</x:v>
      </x:c>
      <x:c r="P182" s="14" t="n">
        <x:v>46302.05830862268</x:v>
      </x:c>
      <x:c r="Q182" s="14" t="str"/>
      <x:c r="R182" s="17" t="b">
        <x:v>0</x:v>
      </x:c>
      <x:c r="S182" s="14" t="str">
        <x:v>fixed18</x:v>
      </x:c>
    </x:row>
    <x:row r="183" ht="48" customHeight="1">
      <x:c r="A183" s="14" t="str">
        <x:v>780525</x:v>
      </x:c>
      <x:c r="B183" s="14" t="str">
        <x:v>dishwasher</x:v>
      </x:c>
      <x:c r="C183" s="14" t="str">
        <x:v>DFE5BGE</x:v>
      </x:c>
      <x:c r="D183" s="18"/>
      <x:c r="E183" s="14" t="str">
        <x:v>development</x:v>
      </x:c>
      <x:c r="F183" s="15" t="n">
        <x:v>46211</x:v>
      </x:c>
      <x:c r="G183" s="18"/>
      <x:c r="H183" s="16" t="n">
        <x:v>5</x:v>
      </x:c>
      <x:c r="I183" s="14" t="str">
        <x:v>식기세척기 남편이 사자고 했을 때 굳이 왜 사지 라는 생각 많이 했었는데 왜 이제 사는지 모르겠어요. 진작 살 걸.</x:v>
      </x:c>
      <x:c r="J183" s="14" t="str">
        <x:v>https://www.lge.co.kr/mkt/review/MD10492840/pdpReviewListPopup</x:v>
      </x:c>
      <x:c r="K183" s="14" t="str">
        <x:v>#divReviewList &gt; li[data-review-id="780525"] .message</x:v>
      </x:c>
      <x:c r="L183" s="14"/>
      <x:c r="M183" s="14" t="str">
        <x:v>55879fdefb7961b74df574854587f3a15f5d72c9a2b012e584840864ad8228d5</x:v>
      </x:c>
      <x:c r="N183" s="17" t="b">
        <x:v>0</x:v>
      </x:c>
      <x:c r="O183" s="14" t="str">
        <x:v>LGE-R5-GROUP-780525</x:v>
      </x:c>
      <x:c r="P183" s="14" t="n">
        <x:v>46302.05830862268</x:v>
      </x:c>
      <x:c r="Q183" s="14" t="str"/>
      <x:c r="R183" s="17" t="b">
        <x:v>0</x:v>
      </x:c>
      <x:c r="S183" s="14" t="str">
        <x:v>fixed18</x:v>
      </x:c>
    </x:row>
    <x:row r="184" ht="48" customHeight="1">
      <x:c r="A184" s="14" t="str">
        <x:v>861821</x:v>
      </x:c>
      <x:c r="B184" s="14" t="str">
        <x:v>fridge</x:v>
      </x:c>
      <x:c r="C184" s="14" t="str">
        <x:v>T876MEE1H1</x:v>
      </x:c>
      <x:c r="D184" s="18"/>
      <x:c r="E184" s="14" t="str">
        <x:v>development</x:v>
      </x:c>
      <x:c r="F184" s="15" t="n">
        <x:v>46302</x:v>
      </x:c>
      <x:c r="G184" s="18"/>
      <x:c r="H184" s="16" t="n">
        <x:v>5</x:v>
      </x:c>
      <x:c r="I184" s="14" t="str">
        <x:v>디자인 깔끔하고 사용하기 편해요
문이 스르륵 닫히는게 좋네요 ㅎㅎ</x:v>
      </x:c>
      <x:c r="J184" s="14" t="str">
        <x:v>https://www.lge.co.kr/mkt/review/MD10758826/pdpReviewListPopup</x:v>
      </x:c>
      <x:c r="K184" s="14" t="str">
        <x:v>#divReviewList &gt; li[data-review-id="861821"] .message</x:v>
      </x:c>
      <x:c r="L184" s="14" t="str">
        <x:v>MFL71401557 Rev.00_032526</x:v>
      </x:c>
      <x:c r="M184" s="14" t="str">
        <x:v>e4010aa6e444a6c4a02e2bebb8e82a40fece8d54608661c212bfc8d16f65a886</x:v>
      </x:c>
      <x:c r="N184" s="17" t="b">
        <x:v>0</x:v>
      </x:c>
      <x:c r="O184" s="14" t="str">
        <x:v>LGE-R5-V2-BODYGROUP-861821</x:v>
      </x:c>
      <x:c r="P184" s="14" t="n">
        <x:v>46302.07209861111</x:v>
      </x:c>
      <x:c r="Q184" s="14" t="str"/>
      <x:c r="R184" s="17" t="b">
        <x:v>0</x:v>
      </x:c>
      <x:c r="S184" s="14" t="str">
        <x:v>balanced-pilot-v2</x:v>
      </x:c>
    </x:row>
    <x:row r="185" ht="48" customHeight="1">
      <x:c r="A185" s="14" t="str">
        <x:v>861640</x:v>
      </x:c>
      <x:c r="B185" s="14" t="str">
        <x:v>fridge</x:v>
      </x:c>
      <x:c r="C185" s="14" t="str">
        <x:v>T876MEE1H1</x:v>
      </x:c>
      <x:c r="D185" s="18"/>
      <x:c r="E185" s="14" t="str">
        <x:v>quarantine</x:v>
      </x:c>
      <x:c r="F185" s="15" t="n">
        <x:v>46301</x:v>
      </x:c>
      <x:c r="G185" s="18"/>
      <x:c r="H185" s="16" t="n">
        <x:v>5</x:v>
      </x:c>
      <x:c r="I185" s="14" t="str">
        <x:v>좋아요 설치도 원하는 날짜 시간 잘 맞춰주네요 설명도 잘해주시고 역시 가전은 lg ㅎ</x:v>
      </x:c>
      <x:c r="J185" s="14" t="str">
        <x:v>https://www.lge.co.kr/mkt/review/MD10758826/pdpReviewListPopup</x:v>
      </x:c>
      <x:c r="K185" s="14" t="str">
        <x:v>#divReviewList &gt; li[data-review-id="861640"] .message</x:v>
      </x:c>
      <x:c r="L185" s="14" t="str">
        <x:v>MFL71401557 Rev.00_032526</x:v>
      </x:c>
      <x:c r="M185" s="14" t="str">
        <x:v>8196f29a6b414ca20893806bb9bcfd14dc0abe8aac0b3ce2ca25570cbfbceb18</x:v>
      </x:c>
      <x:c r="N185" s="17" t="b">
        <x:v>0</x:v>
      </x:c>
      <x:c r="O185" s="14" t="str">
        <x:v>LGE-R5-V2-BODYGROUP-861640</x:v>
      </x:c>
      <x:c r="P185" s="14" t="n">
        <x:v>46302.07209861111</x:v>
      </x:c>
      <x:c r="Q185" s="14" t="str">
        <x:v>review_row_MD_differs_from_displayed_page_MD</x:v>
      </x:c>
      <x:c r="R185" s="17" t="b">
        <x:v>0</x:v>
      </x:c>
      <x:c r="S185" s="14" t="str">
        <x:v>balanced-pilot-v2</x:v>
      </x:c>
    </x:row>
    <x:row r="186" ht="48" customHeight="1">
      <x:c r="A186" s="14" t="str">
        <x:v>861627</x:v>
      </x:c>
      <x:c r="B186" s="14" t="str">
        <x:v>fridge</x:v>
      </x:c>
      <x:c r="C186" s="14" t="str">
        <x:v>T876MEE1H1</x:v>
      </x:c>
      <x:c r="D186" s="18"/>
      <x:c r="E186" s="14" t="str">
        <x:v>development</x:v>
      </x:c>
      <x:c r="F186" s="15" t="n">
        <x:v>46301</x:v>
      </x:c>
      <x:c r="G186" s="18"/>
      <x:c r="H186" s="16" t="n">
        <x:v>5</x:v>
      </x:c>
      <x:c r="I186" s="14" t="str">
        <x:v>앞에 홈바(?) 있는거 정말 편해서 추천합니다! 아무래도 물을 자주 꺼내 마시거나 음료만 꺼낼때 편해서 몹시 만족스럽습니다.</x:v>
      </x:c>
      <x:c r="J186" s="14" t="str">
        <x:v>https://www.lge.co.kr/mkt/review/MD10758826/pdpReviewListPopup</x:v>
      </x:c>
      <x:c r="K186" s="14" t="str">
        <x:v>#divReviewList &gt; li[data-review-id="861627"] .message</x:v>
      </x:c>
      <x:c r="L186" s="14" t="str">
        <x:v>MFL71401557 Rev.00_032526</x:v>
      </x:c>
      <x:c r="M186" s="14" t="str">
        <x:v>463b9c4dc560aa08d4d6caa9e3f193a75493a778fd366a11ac2d1be3f89e92fa</x:v>
      </x:c>
      <x:c r="N186" s="17" t="b">
        <x:v>0</x:v>
      </x:c>
      <x:c r="O186" s="14" t="str">
        <x:v>LGE-R5-V2-BODYGROUP-861627</x:v>
      </x:c>
      <x:c r="P186" s="14" t="n">
        <x:v>46302.07209861111</x:v>
      </x:c>
      <x:c r="Q186" s="14" t="str"/>
      <x:c r="R186" s="17" t="b">
        <x:v>0</x:v>
      </x:c>
      <x:c r="S186" s="14" t="str">
        <x:v>balanced-pilot-v2</x:v>
      </x:c>
    </x:row>
    <x:row r="187" ht="48" customHeight="1">
      <x:c r="A187" s="14" t="str">
        <x:v>861497</x:v>
      </x:c>
      <x:c r="B187" s="14" t="str">
        <x:v>fridge</x:v>
      </x:c>
      <x:c r="C187" s="14" t="str">
        <x:v>T876MEE1H1</x:v>
      </x:c>
      <x:c r="D187" s="18"/>
      <x:c r="E187" s="14" t="str">
        <x:v>development</x:v>
      </x:c>
      <x:c r="F187" s="15" t="n">
        <x:v>46301</x:v>
      </x:c>
      <x:c r="G187" s="18"/>
      <x:c r="H187" s="16" t="n">
        <x:v>5</x:v>
      </x:c>
      <x:c r="I187" s="14" t="str">
        <x:v>쓰던 냉장고가 갑자기 고장나서 급하게 교체한거 치고
넓고 생각보다 자리차지도 않아서 만족합니다</x:v>
      </x:c>
      <x:c r="J187" s="14" t="str">
        <x:v>https://www.lge.co.kr/mkt/review/MD10758826/pdpReviewListPopup</x:v>
      </x:c>
      <x:c r="K187" s="14" t="str">
        <x:v>#divReviewList &gt; li[data-review-id="861497"] .message</x:v>
      </x:c>
      <x:c r="L187" s="14" t="str">
        <x:v>MFL71401557 Rev.00_032526</x:v>
      </x:c>
      <x:c r="M187" s="14" t="str">
        <x:v>32929d2d0a38af357a9fe72494bbd4b93d4d5d416f170874bf88958b7b2c1463</x:v>
      </x:c>
      <x:c r="N187" s="17" t="b">
        <x:v>0</x:v>
      </x:c>
      <x:c r="O187" s="14" t="str">
        <x:v>LGE-R5-V2-BODYGROUP-861497</x:v>
      </x:c>
      <x:c r="P187" s="14" t="n">
        <x:v>46302.07209861111</x:v>
      </x:c>
      <x:c r="Q187" s="14" t="str"/>
      <x:c r="R187" s="17" t="b">
        <x:v>0</x:v>
      </x:c>
      <x:c r="S187" s="14" t="str">
        <x:v>balanced-pilot-v2</x:v>
      </x:c>
    </x:row>
    <x:row r="188" ht="48" customHeight="1">
      <x:c r="A188" s="14" t="str">
        <x:v>861454</x:v>
      </x:c>
      <x:c r="B188" s="14" t="str">
        <x:v>fridge</x:v>
      </x:c>
      <x:c r="C188" s="14" t="str">
        <x:v>T876MEE1H1</x:v>
      </x:c>
      <x:c r="D188" s="18"/>
      <x:c r="E188" s="14" t="str">
        <x:v>development</x:v>
      </x:c>
      <x:c r="F188" s="15" t="n">
        <x:v>46301</x:v>
      </x:c>
      <x:c r="G188" s="18"/>
      <x:c r="H188" s="16" t="n">
        <x:v>5</x:v>
      </x:c>
      <x:c r="I188" s="14" t="str">
        <x:v>신혼때 구입한 냉장고가 문틀쪽으로 뜨겁고, 냉장기능도 떨어져 교체했습니다! 역시 새제품 구입하니 좋네요~ 냉장과 냉동 기능은 물론 4도어 은근히 많이 들어가고 좋습니다</x:v>
      </x:c>
      <x:c r="J188" s="14" t="str">
        <x:v>https://www.lge.co.kr/mkt/review/MD10758826/pdpReviewListPopup</x:v>
      </x:c>
      <x:c r="K188" s="14" t="str">
        <x:v>#divReviewList &gt; li[data-review-id="861454"] .message</x:v>
      </x:c>
      <x:c r="L188" s="14" t="str">
        <x:v>MFL71401557 Rev.00_032526</x:v>
      </x:c>
      <x:c r="M188" s="14" t="str">
        <x:v>f758677faae938d3ca5102378bba3bd5835aff57ac689108e58b497f786a4d13</x:v>
      </x:c>
      <x:c r="N188" s="17" t="b">
        <x:v>0</x:v>
      </x:c>
      <x:c r="O188" s="14" t="str">
        <x:v>LGE-R5-V2-BODYGROUP-861454</x:v>
      </x:c>
      <x:c r="P188" s="14" t="n">
        <x:v>46302.07209861111</x:v>
      </x:c>
      <x:c r="Q188" s="14" t="str"/>
      <x:c r="R188" s="17" t="b">
        <x:v>0</x:v>
      </x:c>
      <x:c r="S188" s="14" t="str">
        <x:v>balanced-pilot-v2</x:v>
      </x:c>
    </x:row>
    <x:row r="189" ht="48" customHeight="1">
      <x:c r="A189" s="14" t="str">
        <x:v>861281</x:v>
      </x:c>
      <x:c r="B189" s="14" t="str">
        <x:v>fridge</x:v>
      </x:c>
      <x:c r="C189" s="14" t="str">
        <x:v>T876MEE1H1</x:v>
      </x:c>
      <x:c r="D189" s="18"/>
      <x:c r="E189" s="14" t="str">
        <x:v>development</x:v>
      </x:c>
      <x:c r="F189" s="15" t="n">
        <x:v>46301</x:v>
      </x:c>
      <x:c r="G189" s="18"/>
      <x:c r="H189" s="16" t="n">
        <x:v>5</x:v>
      </x:c>
      <x:c r="I189" s="14" t="str">
        <x:v>잘 설치해주시고 가셨어요 근데 손잡이쪽에 기스가 쫌 난거같은데 안보이긴해요 냉동실문은 자동닫힘 안되요 냉장만 자동닫힘되요</x:v>
      </x:c>
      <x:c r="J189" s="14" t="str">
        <x:v>https://www.lge.co.kr/mkt/review/MD10758826/pdpReviewListPopup</x:v>
      </x:c>
      <x:c r="K189" s="14" t="str">
        <x:v>#divReviewList &gt; li[data-review-id="861281"] .message</x:v>
      </x:c>
      <x:c r="L189" s="14" t="str">
        <x:v>MFL71401557 Rev.00_032526</x:v>
      </x:c>
      <x:c r="M189" s="14" t="str">
        <x:v>cc4d1600289f6cdbf63964ea9af2aa478a120eac564d77c665b3d473219c06db</x:v>
      </x:c>
      <x:c r="N189" s="17" t="b">
        <x:v>0</x:v>
      </x:c>
      <x:c r="O189" s="14" t="str">
        <x:v>LGE-R5-V2-BODYGROUP-861281</x:v>
      </x:c>
      <x:c r="P189" s="14" t="n">
        <x:v>46302.07209861111</x:v>
      </x:c>
      <x:c r="Q189" s="14" t="str"/>
      <x:c r="R189" s="17" t="b">
        <x:v>0</x:v>
      </x:c>
      <x:c r="S189" s="14" t="str">
        <x:v>balanced-pilot-v2</x:v>
      </x:c>
    </x:row>
    <x:row r="190" ht="48" customHeight="1">
      <x:c r="A190" s="14" t="str">
        <x:v>861268</x:v>
      </x:c>
      <x:c r="B190" s="14" t="str">
        <x:v>fridge</x:v>
      </x:c>
      <x:c r="C190" s="14" t="str">
        <x:v>T876MEE1H1</x:v>
      </x:c>
      <x:c r="D190" s="18"/>
      <x:c r="E190" s="14" t="str">
        <x:v>demonstration</x:v>
      </x:c>
      <x:c r="F190" s="15" t="n">
        <x:v>46301</x:v>
      </x:c>
      <x:c r="G190" s="18"/>
      <x:c r="H190" s="16" t="n">
        <x:v>5</x:v>
      </x:c>
      <x:c r="I190" s="14" t="str">
        <x:v>확실히 용량이커서 마음에 들어요 오브제라인 키친핏은작아서ㅜ</x:v>
      </x:c>
      <x:c r="J190" s="14" t="str">
        <x:v>https://www.lge.co.kr/mkt/review/MD10758826/pdpReviewListPopup</x:v>
      </x:c>
      <x:c r="K190" s="14" t="str">
        <x:v>#divReviewList &gt; li[data-review-id="861268"] .message</x:v>
      </x:c>
      <x:c r="L190" s="14" t="str">
        <x:v>MFL71401557 Rev.00_032526</x:v>
      </x:c>
      <x:c r="M190" s="14" t="str">
        <x:v>2ccec455e0ad798b695de50272d1eed13e81163e56cb7716095bc1e40d3e9f05</x:v>
      </x:c>
      <x:c r="N190" s="17" t="b">
        <x:v>0</x:v>
      </x:c>
      <x:c r="O190" s="14" t="str">
        <x:v>LGE-R5-V2-BODYGROUP-861268</x:v>
      </x:c>
      <x:c r="P190" s="14" t="n">
        <x:v>46302.07209861111</x:v>
      </x:c>
      <x:c r="Q190" s="14" t="str"/>
      <x:c r="R190" s="17" t="b">
        <x:v>0</x:v>
      </x:c>
      <x:c r="S190" s="14" t="str">
        <x:v>balanced-pilot-v2</x:v>
      </x:c>
    </x:row>
    <x:row r="191" ht="69" customHeight="1">
      <x:c r="A191" s="14" t="str">
        <x:v>861188</x:v>
      </x:c>
      <x:c r="B191" s="14" t="str">
        <x:v>fridge</x:v>
      </x:c>
      <x:c r="C191" s="14" t="str">
        <x:v>T876MEE1H1</x:v>
      </x:c>
      <x:c r="D191" s="18"/>
      <x:c r="E191" s="14" t="str">
        <x:v>independent_evaluation</x:v>
      </x:c>
      <x:c r="F191" s="15" t="n">
        <x:v>46301</x:v>
      </x:c>
      <x:c r="G191" s="18"/>
      <x:c r="H191" s="16" t="n">
        <x:v>5</x:v>
      </x:c>
      <x:c r="I191" s="14" t="str">
        <x:v>신혼때 구입한 냉장고가 10년이 넘어서 구매했습니다.
가성비 매우 훌륭합니다.
내부 저장 공간도 넉넉합니다.
추천 합니다!!</x:v>
      </x:c>
      <x:c r="J191" s="14" t="str">
        <x:v>https://www.lge.co.kr/mkt/review/MD10758826/pdpReviewListPopup</x:v>
      </x:c>
      <x:c r="K191" s="14" t="str">
        <x:v>#divReviewList &gt; li[data-review-id="861188"] .message</x:v>
      </x:c>
      <x:c r="L191" s="14" t="str">
        <x:v>MFL71401557 Rev.00_032526</x:v>
      </x:c>
      <x:c r="M191" s="14" t="str">
        <x:v>c2c91c4e49af320f5f388d97cf21d818667a7aeb924ca7521d35b7d0d25f3594</x:v>
      </x:c>
      <x:c r="N191" s="17" t="b">
        <x:v>0</x:v>
      </x:c>
      <x:c r="O191" s="14" t="str">
        <x:v>LGE-R5-V2-BODYGROUP-861188</x:v>
      </x:c>
      <x:c r="P191" s="14" t="n">
        <x:v>46302.07209861111</x:v>
      </x:c>
      <x:c r="Q191" s="14" t="str"/>
      <x:c r="R191" s="17" t="b">
        <x:v>0</x:v>
      </x:c>
      <x:c r="S191" s="14" t="str">
        <x:v>balanced-pilot-v2</x:v>
      </x:c>
    </x:row>
    <x:row r="192" ht="48" customHeight="1">
      <x:c r="A192" s="14" t="str">
        <x:v>861181</x:v>
      </x:c>
      <x:c r="B192" s="14" t="str">
        <x:v>fridge</x:v>
      </x:c>
      <x:c r="C192" s="14" t="str">
        <x:v>T876MEE1H1</x:v>
      </x:c>
      <x:c r="D192" s="18"/>
      <x:c r="E192" s="14" t="str">
        <x:v>development</x:v>
      </x:c>
      <x:c r="F192" s="15" t="n">
        <x:v>46301</x:v>
      </x:c>
      <x:c r="G192" s="18"/>
      <x:c r="H192" s="16" t="n">
        <x:v>5</x:v>
      </x:c>
      <x:c r="I192" s="14" t="str">
        <x:v>신혼때 사용하던 제품을 드뎌 바꿨네요 용량도 크고 너무 깔끔하네요👍</x:v>
      </x:c>
      <x:c r="J192" s="14" t="str">
        <x:v>https://www.lge.co.kr/mkt/review/MD10758826/pdpReviewListPopup</x:v>
      </x:c>
      <x:c r="K192" s="14" t="str">
        <x:v>#divReviewList &gt; li[data-review-id="861181"] .message</x:v>
      </x:c>
      <x:c r="L192" s="14" t="str">
        <x:v>MFL71401557 Rev.00_032526</x:v>
      </x:c>
      <x:c r="M192" s="14" t="str">
        <x:v>73229c4a64070dfc01c9710bab577065ec3c875bc8959414b9e5b2a628e9f1cb</x:v>
      </x:c>
      <x:c r="N192" s="17" t="b">
        <x:v>0</x:v>
      </x:c>
      <x:c r="O192" s="14" t="str">
        <x:v>LGE-R5-V2-BODYGROUP-861181</x:v>
      </x:c>
      <x:c r="P192" s="14" t="n">
        <x:v>46302.07209861111</x:v>
      </x:c>
      <x:c r="Q192" s="14" t="str"/>
      <x:c r="R192" s="17" t="b">
        <x:v>0</x:v>
      </x:c>
      <x:c r="S192" s="14" t="str">
        <x:v>balanced-pilot-v2</x:v>
      </x:c>
    </x:row>
    <x:row r="193" ht="48" customHeight="1">
      <x:c r="A193" s="14" t="str">
        <x:v>861174</x:v>
      </x:c>
      <x:c r="B193" s="14" t="str">
        <x:v>fridge</x:v>
      </x:c>
      <x:c r="C193" s="14" t="str">
        <x:v>T876MEE1H1</x:v>
      </x:c>
      <x:c r="D193" s="18"/>
      <x:c r="E193" s="14" t="str">
        <x:v>development</x:v>
      </x:c>
      <x:c r="F193" s="15" t="n">
        <x:v>46301</x:v>
      </x:c>
      <x:c r="G193" s="18"/>
      <x:c r="H193" s="16" t="n">
        <x:v>5</x:v>
      </x:c>
      <x:c r="I193" s="14" t="str">
        <x:v>아주좋아요~!색도이쁘고 잘쓰고있어요 굿입니다^^ Lg짱</x:v>
      </x:c>
      <x:c r="J193" s="14" t="str">
        <x:v>https://www.lge.co.kr/mkt/review/MD10758826/pdpReviewListPopup</x:v>
      </x:c>
      <x:c r="K193" s="14" t="str">
        <x:v>#divReviewList &gt; li[data-review-id="861174"] .message</x:v>
      </x:c>
      <x:c r="L193" s="14" t="str">
        <x:v>MFL71401557 Rev.00_032526</x:v>
      </x:c>
      <x:c r="M193" s="14" t="str">
        <x:v>3878bd7fe8a90bb6d05073c5a4e8bd7fbe659499edb2013fe20e7000f0de3c68</x:v>
      </x:c>
      <x:c r="N193" s="17" t="b">
        <x:v>0</x:v>
      </x:c>
      <x:c r="O193" s="14" t="str">
        <x:v>LGE-R5-V2-BODYGROUP-861174</x:v>
      </x:c>
      <x:c r="P193" s="14" t="n">
        <x:v>46302.07209861111</x:v>
      </x:c>
      <x:c r="Q193" s="14" t="str"/>
      <x:c r="R193" s="17" t="b">
        <x:v>0</x:v>
      </x:c>
      <x:c r="S193" s="14" t="str">
        <x:v>balanced-pilot-v2</x:v>
      </x:c>
    </x:row>
    <x:row r="194" ht="114" customHeight="1">
      <x:c r="A194" s="14" t="str">
        <x:v>844977</x:v>
      </x:c>
      <x:c r="B194" s="14" t="str">
        <x:v>fridge</x:v>
      </x:c>
      <x:c r="C194" s="14" t="str">
        <x:v>T876MEE1H1</x:v>
      </x:c>
      <x:c r="D194" s="18"/>
      <x:c r="E194" s="14" t="str">
        <x:v>independent_evaluation</x:v>
      </x:c>
      <x:c r="F194" s="15" t="n">
        <x:v>46279</x:v>
      </x:c>
      <x:c r="G194" s="18"/>
      <x:c r="H194" s="16" t="n">
        <x:v>1</x:v>
      </x:c>
      <x:c r="I194" s="14" t="str">
        <x:v>품질 개똥망! 기존에도 LG 4도어 냉장고 쓰고 있었습니다. 10년전 그 당시 고급형 모델을 구매했고, 여러 기능이 들어가있었죠. 그런데 최근 잔고장이 나서 수리 견적 받아보니 새제품 구매가 낫겠더군요. 나름 공홈에서 가성비 괜찮아 보이는 모델을 주문했죠... 중국산... 그래도 LG니 믿었습니다. 배송이 왔는데 외관은 그럴싸 했습니다. 근데 얼마나 원가절감을 했는지... 기존 모델 대비 싼마이 그 자체였고, 가성비를 떠나서 선반은 수평이 안맞습니다. 내부 바로 보이는곳에 철판이 찍혀있었는데, 그걸 품질에서 통과 시킨거 같아요. 냉동실 조명은 왜 문짝에 달아놔서...하...저가형 모델은 해외 생산할수바께 없다는거 이해는 합니다. 다만, 대기업이니 만큼 품질은 좀 신경 써주시길... 환불이 쉽지 않을꺼 같아 대충 AS받아서 쓸겁니다. 다만, 다시 LG 제품을 구매한다? 글쎄요.</x:v>
      </x:c>
      <x:c r="J194" s="14" t="str">
        <x:v>https://www.lge.co.kr/mkt/review/MD10758826/pdpReviewListPopup</x:v>
      </x:c>
      <x:c r="K194" s="14" t="str">
        <x:v>#divReviewList &gt; li[data-review-id="844977"] .message</x:v>
      </x:c>
      <x:c r="L194" s="14" t="str">
        <x:v>MFL71401557 Rev.00_032526</x:v>
      </x:c>
      <x:c r="M194" s="14" t="str">
        <x:v>52ea809d2aef233c863b4baa3338b2c0982552c5fcfc94f035f89e8fbab2bb4b</x:v>
      </x:c>
      <x:c r="N194" s="17" t="b">
        <x:v>0</x:v>
      </x:c>
      <x:c r="O194" s="14" t="str">
        <x:v>LGE-R5-V2-BODYGROUP-844977</x:v>
      </x:c>
      <x:c r="P194" s="14" t="n">
        <x:v>46302.07274502315</x:v>
      </x:c>
      <x:c r="Q194" s="14" t="str"/>
      <x:c r="R194" s="17" t="b">
        <x:v>0</x:v>
      </x:c>
      <x:c r="S194" s="14" t="str">
        <x:v>balanced-pilot-v2</x:v>
      </x:c>
    </x:row>
    <x:row r="195" ht="114" customHeight="1">
      <x:c r="A195" s="14" t="str">
        <x:v>828498</x:v>
      </x:c>
      <x:c r="B195" s="14" t="str">
        <x:v>fridge</x:v>
      </x:c>
      <x:c r="C195" s="14" t="str">
        <x:v>T876MEE1H1</x:v>
      </x:c>
      <x:c r="D195" s="18"/>
      <x:c r="E195" s="14" t="str">
        <x:v>development</x:v>
      </x:c>
      <x:c r="F195" s="15" t="n">
        <x:v>46259</x:v>
      </x:c>
      <x:c r="G195" s="18"/>
      <x:c r="H195" s="16" t="n">
        <x:v>1</x:v>
      </x:c>
      <x:c r="I195" s="14" t="str">
        <x:v>전 지금 보유가전만 lg가전만 10개입니다
온라인으로 구매하면서 대기업의 못믿을가격책정이 마음에 안듭니다 10만웜 짜리 소모품도아니고 몇백씩하는 제품이 눈 뜨면 20만원 내려있고 며칠 지나면 또 세일이고 물건을 배송 받은 상태이면 가격이 내리던 오르던 내가산가격이 그날가격이니 할말이 없는건 맞습니다
근데 물량폭주인지 못만들어서인지 한달기다리면서 가격 내렸다고 취소하고 다시구입하면 또한달을 기다려야 배송되니까 20만원 더비싸도 이사때문에 취소하지 않고 그냥 구입하였습니다 소비자 입장에서 속이 많이 쓰립니다 정말 너무한다는 생각입니다</x:v>
      </x:c>
      <x:c r="J195" s="14" t="str">
        <x:v>https://www.lge.co.kr/mkt/review/MD10758826/pdpReviewListPopup</x:v>
      </x:c>
      <x:c r="K195" s="14" t="str">
        <x:v>#divReviewList &gt; li[data-review-id="828498"] .message</x:v>
      </x:c>
      <x:c r="L195" s="14" t="str">
        <x:v>MFL71401557 Rev.00_032526</x:v>
      </x:c>
      <x:c r="M195" s="14" t="str">
        <x:v>2c3571650aabf9a41c4b8ce19050fa46fb3ea374ba5b4b64db67dcc42dc9906c</x:v>
      </x:c>
      <x:c r="N195" s="17" t="b">
        <x:v>0</x:v>
      </x:c>
      <x:c r="O195" s="14" t="str">
        <x:v>LGE-R5-V2-BODYGROUP-828498</x:v>
      </x:c>
      <x:c r="P195" s="14" t="n">
        <x:v>46302.07274502315</x:v>
      </x:c>
      <x:c r="Q195" s="14" t="str"/>
      <x:c r="R195" s="17" t="b">
        <x:v>0</x:v>
      </x:c>
      <x:c r="S195" s="14" t="str">
        <x:v>balanced-pilot-v2</x:v>
      </x:c>
    </x:row>
    <x:row r="196" ht="48" customHeight="1">
      <x:c r="A196" s="14" t="str">
        <x:v>804322</x:v>
      </x:c>
      <x:c r="B196" s="14" t="str">
        <x:v>fridge</x:v>
      </x:c>
      <x:c r="C196" s="14" t="str">
        <x:v>T876MEE1H1</x:v>
      </x:c>
      <x:c r="D196" s="18"/>
      <x:c r="E196" s="14" t="str">
        <x:v>development</x:v>
      </x:c>
      <x:c r="F196" s="15" t="n">
        <x:v>46233</x:v>
      </x:c>
      <x:c r="G196" s="18"/>
      <x:c r="H196" s="16" t="n">
        <x:v>1</x:v>
      </x:c>
      <x:c r="I196" s="14" t="str">
        <x:v>설치하면서 흡집이 생겼습니다.
기사분이 스티커 제거하 주셨는데 못보셨나봐요.</x:v>
      </x:c>
      <x:c r="J196" s="14" t="str">
        <x:v>https://www.lge.co.kr/mkt/review/MD10758826/pdpReviewListPopup</x:v>
      </x:c>
      <x:c r="K196" s="14" t="str">
        <x:v>#divReviewList &gt; li[data-review-id="804322"] .message</x:v>
      </x:c>
      <x:c r="L196" s="14" t="str">
        <x:v>MFL71401557 Rev.00_032526</x:v>
      </x:c>
      <x:c r="M196" s="14" t="str">
        <x:v>077f89c53fdd277ce2493890029427085ee0006d4260f9aa1777926aa280bc1b</x:v>
      </x:c>
      <x:c r="N196" s="17" t="b">
        <x:v>0</x:v>
      </x:c>
      <x:c r="O196" s="14" t="str">
        <x:v>LGE-R5-V2-BODYGROUP-804322</x:v>
      </x:c>
      <x:c r="P196" s="14" t="n">
        <x:v>46302.07274502315</x:v>
      </x:c>
      <x:c r="Q196" s="14" t="str"/>
      <x:c r="R196" s="17" t="b">
        <x:v>0</x:v>
      </x:c>
      <x:c r="S196" s="14" t="str">
        <x:v>balanced-pilot-v2</x:v>
      </x:c>
    </x:row>
    <x:row r="197" ht="375" customHeight="1">
      <x:c r="A197" s="14" t="str">
        <x:v>798666</x:v>
      </x:c>
      <x:c r="B197" s="14" t="str">
        <x:v>fridge</x:v>
      </x:c>
      <x:c r="C197" s="14" t="str">
        <x:v>T876MEE1H1</x:v>
      </x:c>
      <x:c r="D197" s="18"/>
      <x:c r="E197" s="14" t="str">
        <x:v>development</x:v>
      </x:c>
      <x:c r="F197" s="15" t="n">
        <x:v>46228</x:v>
      </x:c>
      <x:c r="G197" s="18"/>
      <x:c r="H197" s="16" t="n">
        <x:v>1</x:v>
      </x:c>
      <x:c r="I197" s="14" t="str">
        <x:v>냉장고는 마음에 들지만
다시는 엘지꺼 구매하고 싶지 않음
설치기사 서비스 진짜
배송날짜 어긴것도 그러려니 넘어갔는데
사다리 아닌 스카이로 냉장고 올렸나? 그랬는데
기사 하는 말이
“전화오면 스카이 아니고 사다리로 올린거에요
이집은 실외기때문에 그런거에요”
스카이던 사다리건 우리 입장에서는 냉장고만 설치해주면
끝나는거임! 근데 우리가 무슨 불법으로 냉장고를 산 것도 아니고 저게 고객한테 무슨 태도임!?
냉장고에 대한 설명 하나 없이
어디는 냉장고 에너지 절약 어플까지도 설명해준다는데
그런것도 바라지도않음
두시간 있다 물건 넣으라하고 땡임
물건 사고 이렇게 기분 나쁜적 처음임
설치방문시간 바꿔놓고 미안하단 말 한 마디 안했을때도
그러려니 함
근데 남편한데 스카이가 사다리가 어쩌고 하며
부탁하는 말투도 아닌
그냥 댁들은 이렇게 말하세요
딱 이거였다고 함
그냥 이미 설치도 했고 잘 사용하면 되는거 아니냐고
남편이 자꾸 말 하는데
그 전에 설치 날짜 다음날로 변경했을때
미안하단 말 한마디만 하거나 변경돼서 바뀐 기사가 다시 전화해서 또 사다리 기사님을 섭외해야 미룬 다음날이라도 배송이 될지안될지는 기사님이랑 통화를 또 해봐야 안다고
하… 진짜 최악임 엘지 서비스센터….
주변에 엘지 설치한다 하면 뜯어 말릴거임 정말로</x:v>
      </x:c>
      <x:c r="J197" s="14" t="str">
        <x:v>https://www.lge.co.kr/mkt/review/MD10758826/pdpReviewListPopup</x:v>
      </x:c>
      <x:c r="K197" s="14" t="str">
        <x:v>#divReviewList &gt; li[data-review-id="798666"] .message</x:v>
      </x:c>
      <x:c r="L197" s="14" t="str">
        <x:v>MFL71401557 Rev.00_032526</x:v>
      </x:c>
      <x:c r="M197" s="14" t="str">
        <x:v>ac35aa94d7c36ca2b3f93dcada2f32ab14874ce911ab387a7ff60c4fc23ce41c</x:v>
      </x:c>
      <x:c r="N197" s="17" t="b">
        <x:v>0</x:v>
      </x:c>
      <x:c r="O197" s="14" t="str">
        <x:v>LGE-R5-V2-BODYGROUP-798666</x:v>
      </x:c>
      <x:c r="P197" s="14" t="n">
        <x:v>46302.07274502315</x:v>
      </x:c>
      <x:c r="Q197" s="14" t="str"/>
      <x:c r="R197" s="17" t="b">
        <x:v>0</x:v>
      </x:c>
      <x:c r="S197" s="14" t="str">
        <x:v>balanced-pilot-v2</x:v>
      </x:c>
    </x:row>
    <x:row r="198" ht="174" customHeight="1">
      <x:c r="A198" s="14" t="str">
        <x:v>797084</x:v>
      </x:c>
      <x:c r="B198" s="14" t="str">
        <x:v>fridge</x:v>
      </x:c>
      <x:c r="C198" s="14" t="str">
        <x:v>T876MEE1H1</x:v>
      </x:c>
      <x:c r="D198" s="18"/>
      <x:c r="E198" s="14" t="str">
        <x:v>development</x:v>
      </x:c>
      <x:c r="F198" s="15" t="n">
        <x:v>46226</x:v>
      </x:c>
      <x:c r="G198" s="18"/>
      <x:c r="H198" s="16" t="n">
        <x:v>1</x:v>
      </x:c>
      <x:c r="I198" s="14" t="str">
        <x:v>혼수로 산 삼성15년 쓰다가 갑자기 고장나서 급하게 온라인으로 비교적 싼 걸 급하게 샀다
1.이전과 비교해 소음이 있다. 전에는 냉장고 소리를 의식하지 못했는데 소리가 들린다. 중국산이라 그런가
2.냉동실 모든칸이 전면 턱이 있어서 물건 특히 얼음통같이 슬라이드 해야하는 통을 쓸 수가 없다
3.냉동실 내부 칸은 모두 플라스틱이다. 그마저도 매우 얇고 약해보인다. 다이소 플라스틱 느낌.이전 건 문짝 소스칸과 채소과일칸등 일부가 플라스틱이고 고급스럽게 두툼하고 투명했다. 냉장실 강화유리 선반도 약해보인다 냄비 올리다 깨질까 겁나네
4.계란통 없다. 기존 냉장고의 계란통 꼭 챙겨둘것
5.얼음통 무슨 애들 장난감인 줄.
:3×6 한칸. 얼음모양도 큐브도 별도 아니고 사각뿔형태. 국내에선 본적도 없다.중국식인가봐
어제 들여놨는데 이사가기 전까지만 쓰겠다는 마음이 든다. Lg에서 구매한 모든 제품 중 후회되는 유일한 제품이다</x:v>
      </x:c>
      <x:c r="J198" s="14" t="str">
        <x:v>https://www.lge.co.kr/mkt/review/MD10758826/pdpReviewListPopup</x:v>
      </x:c>
      <x:c r="K198" s="14" t="str">
        <x:v>#divReviewList &gt; li[data-review-id="797084"] .message</x:v>
      </x:c>
      <x:c r="L198" s="14" t="str">
        <x:v>MFL71401557 Rev.00_032526</x:v>
      </x:c>
      <x:c r="M198" s="14" t="str">
        <x:v>4c98949631b6f4a70c4f5cb02abd616b84c0bd23e44a5443ad1ba4f8d36a19fd</x:v>
      </x:c>
      <x:c r="N198" s="17" t="b">
        <x:v>0</x:v>
      </x:c>
      <x:c r="O198" s="14" t="str">
        <x:v>LGE-R5-V2-BODYGROUP-797084</x:v>
      </x:c>
      <x:c r="P198" s="14" t="n">
        <x:v>46302.07274502315</x:v>
      </x:c>
      <x:c r="Q198" s="14" t="str"/>
      <x:c r="R198" s="17" t="b">
        <x:v>0</x:v>
      </x:c>
      <x:c r="S198" s="14" t="str">
        <x:v>balanced-pilot-v2</x:v>
      </x:c>
    </x:row>
    <x:row r="199" ht="159" customHeight="1">
      <x:c r="A199" s="14" t="str">
        <x:v>747351</x:v>
      </x:c>
      <x:c r="B199" s="14" t="str">
        <x:v>fridge</x:v>
      </x:c>
      <x:c r="C199" s="14" t="str">
        <x:v>T876MEE1H1</x:v>
      </x:c>
      <x:c r="D199" s="18"/>
      <x:c r="E199" s="14" t="str">
        <x:v>independent_evaluation</x:v>
      </x:c>
      <x:c r="F199" s="15" t="n">
        <x:v>46178</x:v>
      </x:c>
      <x:c r="G199" s="18"/>
      <x:c r="H199" s="16" t="n">
        <x:v>1</x:v>
      </x:c>
      <x:c r="I199" s="14" t="str">
        <x:v>황당한 불량 부품 조립, 눈에 안보이는 안쪽 벽면이라고 찌그러진 부품 그대로 조립해 버리고 고객센터에서는 제품하자인지 기사가 직접와서 확인 후 결정하겠다는 답변 받았습니다.
그것도 바로 오시는 것도 아닌 다음 주에나 오신다고 하니 답답하네요
중국 공장이라도 엘지라 믿고 구매했는데 신혼 때 산 디오스가 16년만에 고장나서 믿고 구입했는데 황당합니다
내부 부품은 저런 하자가 없을지 걱정입니다&amp;hellip;
구매는 신중히 하시고 배송 받으시면 꼭 확인하세요
저희 제품은 왼쪽 냉동실이 불량 입니다</x:v>
      </x:c>
      <x:c r="J199" s="14" t="str">
        <x:v>https://www.lge.co.kr/mkt/review/MD10758826/pdpReviewListPopup</x:v>
      </x:c>
      <x:c r="K199" s="14" t="str">
        <x:v>#divReviewList &gt; li[data-review-id="747351"] .message</x:v>
      </x:c>
      <x:c r="L199" s="14" t="str">
        <x:v>MFL71401557 Rev.00_032526</x:v>
      </x:c>
      <x:c r="M199" s="14" t="str">
        <x:v>073a0d59340ccf7718b09bf1478db04edd07c9857620ed0689de88f88440fde4</x:v>
      </x:c>
      <x:c r="N199" s="17" t="b">
        <x:v>0</x:v>
      </x:c>
      <x:c r="O199" s="14" t="str">
        <x:v>LGE-R5-V2-BODYGROUP-747351</x:v>
      </x:c>
      <x:c r="P199" s="14" t="n">
        <x:v>46302.07274502315</x:v>
      </x:c>
      <x:c r="Q199" s="14" t="str"/>
      <x:c r="R199" s="17" t="b">
        <x:v>0</x:v>
      </x:c>
      <x:c r="S199" s="14" t="str">
        <x:v>balanced-pilot-v2</x:v>
      </x:c>
    </x:row>
    <x:row r="200" ht="54" customHeight="1">
      <x:c r="A200" s="14" t="str">
        <x:v>851675</x:v>
      </x:c>
      <x:c r="B200" s="14" t="str">
        <x:v>fridge</x:v>
      </x:c>
      <x:c r="C200" s="14" t="str">
        <x:v>T876MEE1H1</x:v>
      </x:c>
      <x:c r="D200" s="18"/>
      <x:c r="E200" s="14" t="str">
        <x:v>independent_evaluation</x:v>
      </x:c>
      <x:c r="F200" s="15" t="n">
        <x:v>46289</x:v>
      </x:c>
      <x:c r="G200" s="18"/>
      <x:c r="H200" s="16" t="n">
        <x:v>2</x:v>
      </x:c>
      <x:c r="I200" s="14" t="str">
        <x:v>4도어이고 냉장칸이 넓어서 좋습니다. 냉동칸도 슬라이딩 선반이 있어서 좋아요
그러나 온도 설정이 잘못되어 있는지 냉장을 1도로 설정했는데 온도계를 넣어보니 3도에서 더이상 떨어지지 않았어요. AS 요청후 기사님 방문까지 거의 15일 걸렸는데 그동안 별로 시원하지 않은 음료 마셨습니다.</x:v>
      </x:c>
      <x:c r="J200" s="14" t="str">
        <x:v>https://www.lge.co.kr/mkt/review/MD10758826/pdpReviewListPopup</x:v>
      </x:c>
      <x:c r="K200" s="14" t="str">
        <x:v>#divReviewList &gt; li[data-review-id="851675"] .message</x:v>
      </x:c>
      <x:c r="L200" s="14" t="str">
        <x:v>MFL71401557 Rev.00_032526</x:v>
      </x:c>
      <x:c r="M200" s="14" t="str">
        <x:v>bf26241ea1b1cec2fdbec5fe4eb1452c53122e25b0173b9a82777f88aec61cd2</x:v>
      </x:c>
      <x:c r="N200" s="17" t="b">
        <x:v>0</x:v>
      </x:c>
      <x:c r="O200" s="14" t="str">
        <x:v>LGE-R5-V2-BODYGROUP-851675</x:v>
      </x:c>
      <x:c r="P200" s="14" t="n">
        <x:v>46302.07274502315</x:v>
      </x:c>
      <x:c r="Q200" s="14" t="str"/>
      <x:c r="R200" s="17" t="b">
        <x:v>0</x:v>
      </x:c>
      <x:c r="S200" s="14" t="str">
        <x:v>balanced-pilot-v2</x:v>
      </x:c>
    </x:row>
    <x:row r="201" ht="48" customHeight="1">
      <x:c r="A201" s="14" t="str">
        <x:v>807886</x:v>
      </x:c>
      <x:c r="B201" s="14" t="str">
        <x:v>fridge</x:v>
      </x:c>
      <x:c r="C201" s="14" t="str">
        <x:v>T876MEE1H1</x:v>
      </x:c>
      <x:c r="D201" s="18"/>
      <x:c r="E201" s="14" t="str">
        <x:v>development</x:v>
      </x:c>
      <x:c r="F201" s="15" t="n">
        <x:v>46236</x:v>
      </x:c>
      <x:c r="G201" s="18"/>
      <x:c r="H201" s="16" t="n">
        <x:v>3</x:v>
      </x:c>
      <x:c r="I201" s="14" t="str">
        <x:v>좋아요.........좋아요.........좋아요....</x:v>
      </x:c>
      <x:c r="J201" s="14" t="str">
        <x:v>https://www.lge.co.kr/mkt/review/MD10758826/pdpReviewListPopup</x:v>
      </x:c>
      <x:c r="K201" s="14" t="str">
        <x:v>#divReviewList &gt; li[data-review-id="807886"] .message</x:v>
      </x:c>
      <x:c r="L201" s="14" t="str">
        <x:v>MFL71401557 Rev.00_032526</x:v>
      </x:c>
      <x:c r="M201" s="14" t="str">
        <x:v>433241c2f72c6712ded5c2dd571daa0b3acf671ebceac50e94521d35f23b5302</x:v>
      </x:c>
      <x:c r="N201" s="17" t="b">
        <x:v>0</x:v>
      </x:c>
      <x:c r="O201" s="14" t="str">
        <x:v>LGE-R5-V2-BODYGROUP-807886</x:v>
      </x:c>
      <x:c r="P201" s="14" t="n">
        <x:v>46302.07274502315</x:v>
      </x:c>
      <x:c r="Q201" s="14" t="str"/>
      <x:c r="R201" s="17" t="b">
        <x:v>0</x:v>
      </x:c>
      <x:c r="S201" s="14" t="str">
        <x:v>balanced-pilot-v2</x:v>
      </x:c>
    </x:row>
    <x:row r="202" ht="48" customHeight="1">
      <x:c r="A202" s="14" t="str">
        <x:v>801970</x:v>
      </x:c>
      <x:c r="B202" s="14" t="str">
        <x:v>fridge</x:v>
      </x:c>
      <x:c r="C202" s="14" t="str">
        <x:v>T876MEE1H1</x:v>
      </x:c>
      <x:c r="D202" s="18"/>
      <x:c r="E202" s="14" t="str">
        <x:v>development</x:v>
      </x:c>
      <x:c r="F202" s="15" t="n">
        <x:v>46231</x:v>
      </x:c>
      <x:c r="G202" s="18"/>
      <x:c r="H202" s="16" t="n">
        <x:v>3</x:v>
      </x:c>
      <x:c r="I202" s="14" t="str">
        <x:v>설치기사님들 친절하셨엄요 그런데 얼음이 빨리 안 얼어서 보고 있어요</x:v>
      </x:c>
      <x:c r="J202" s="14" t="str">
        <x:v>https://www.lge.co.kr/mkt/review/MD10758826/pdpReviewListPopup</x:v>
      </x:c>
      <x:c r="K202" s="14" t="str">
        <x:v>#divReviewList &gt; li[data-review-id="801970"] .message</x:v>
      </x:c>
      <x:c r="L202" s="14" t="str">
        <x:v>MFL71401557 Rev.00_032526</x:v>
      </x:c>
      <x:c r="M202" s="14" t="str">
        <x:v>3d5d5dfd2257e91afb508a7a20f3717921e14a2ecd364a86e73c24b854c00d55</x:v>
      </x:c>
      <x:c r="N202" s="17" t="b">
        <x:v>0</x:v>
      </x:c>
      <x:c r="O202" s="14" t="str">
        <x:v>LGE-R5-V2-BODYGROUP-801970</x:v>
      </x:c>
      <x:c r="P202" s="14" t="n">
        <x:v>46302.07274502315</x:v>
      </x:c>
      <x:c r="Q202" s="14" t="str"/>
      <x:c r="R202" s="17" t="b">
        <x:v>0</x:v>
      </x:c>
      <x:c r="S202" s="14" t="str">
        <x:v>balanced-pilot-v2</x:v>
      </x:c>
    </x:row>
    <x:row r="203" ht="48" customHeight="1">
      <x:c r="A203" s="14" t="str">
        <x:v>767601</x:v>
      </x:c>
      <x:c r="B203" s="14" t="str">
        <x:v>fridge</x:v>
      </x:c>
      <x:c r="C203" s="14" t="str">
        <x:v>T876MEE1H1</x:v>
      </x:c>
      <x:c r="D203" s="18"/>
      <x:c r="E203" s="14" t="str">
        <x:v>development</x:v>
      </x:c>
      <x:c r="F203" s="15" t="n">
        <x:v>46199</x:v>
      </x:c>
      <x:c r="G203" s="18"/>
      <x:c r="H203" s="16" t="n">
        <x:v>3</x:v>
      </x:c>
      <x:c r="I203" s="14" t="str">
        <x:v>문이 덜닫힌걸 모르고 한시간이 지났어여 슬쩍말었는데
닫힌줄알았는데 아니였더라구여 ㅠㅠ</x:v>
      </x:c>
      <x:c r="J203" s="14" t="str">
        <x:v>https://www.lge.co.kr/mkt/review/MD10758826/pdpReviewListPopup</x:v>
      </x:c>
      <x:c r="K203" s="14" t="str">
        <x:v>#divReviewList &gt; li[data-review-id="767601"] .message</x:v>
      </x:c>
      <x:c r="L203" s="14" t="str">
        <x:v>MFL71401557 Rev.00_032526</x:v>
      </x:c>
      <x:c r="M203" s="14" t="str">
        <x:v>e78af258c23f029eaf6c1d355ddf15f478c21098647425ef8ef220f42d4e3f74</x:v>
      </x:c>
      <x:c r="N203" s="17" t="b">
        <x:v>0</x:v>
      </x:c>
      <x:c r="O203" s="14" t="str">
        <x:v>LGE-R5-V2-BODYGROUP-767601</x:v>
      </x:c>
      <x:c r="P203" s="14" t="n">
        <x:v>46302.07274502315</x:v>
      </x:c>
      <x:c r="Q203" s="14" t="str"/>
      <x:c r="R203" s="17" t="b">
        <x:v>0</x:v>
      </x:c>
      <x:c r="S203" s="14" t="str">
        <x:v>balanced-pilot-v2</x:v>
      </x:c>
    </x:row>
    <x:row r="204" ht="48" customHeight="1">
      <x:c r="A204" s="14" t="str">
        <x:v>861775</x:v>
      </x:c>
      <x:c r="B204" s="14" t="str">
        <x:v>microwave</x:v>
      </x:c>
      <x:c r="C204" s="14" t="str">
        <x:v>MW23FDI</x:v>
      </x:c>
      <x:c r="D204" s="18"/>
      <x:c r="E204" s="14" t="str">
        <x:v>demonstration</x:v>
      </x:c>
      <x:c r="F204" s="15" t="n">
        <x:v>46302</x:v>
      </x:c>
      <x:c r="G204" s="18"/>
      <x:c r="H204" s="16" t="n">
        <x:v>5</x:v>
      </x:c>
      <x:c r="I204" s="14" t="str">
        <x:v>베이지 색이 너무 고급스럽고 예쁘네요~ 기능도 다양해요 간편요리 등~ 터치 식이라 깔끔해요
킨큰 장에 넣어두니 깔끔하고 세련되 보여 만족~👍🏼</x:v>
      </x:c>
      <x:c r="J204" s="14" t="str">
        <x:v>https://www.lge.co.kr/mkt/review/MD10738847/pdpReviewListPopup</x:v>
      </x:c>
      <x:c r="K204" s="14" t="str">
        <x:v>#divReviewList &gt; li[data-review-id="861775"] .message</x:v>
      </x:c>
      <x:c r="L204" s="14" t="str">
        <x:v>MFL68822538 Rev.00_120925</x:v>
      </x:c>
      <x:c r="M204" s="14" t="str">
        <x:v>ad0258fa8f2cf996cc22805d83f066ee84f25b4fbf3afdcd6fe1ba194d6df8c3</x:v>
      </x:c>
      <x:c r="N204" s="17" t="b">
        <x:v>0</x:v>
      </x:c>
      <x:c r="O204" s="14" t="str">
        <x:v>LGE-R5-V2-BODYGROUP-861775</x:v>
      </x:c>
      <x:c r="P204" s="14" t="n">
        <x:v>46302.07384336805</x:v>
      </x:c>
      <x:c r="Q204" s="14" t="str"/>
      <x:c r="R204" s="17" t="b">
        <x:v>0</x:v>
      </x:c>
      <x:c r="S204" s="14" t="str">
        <x:v>balanced-pilot-v2</x:v>
      </x:c>
    </x:row>
    <x:row r="205" ht="54" customHeight="1">
      <x:c r="A205" s="14" t="str">
        <x:v>861706</x:v>
      </x:c>
      <x:c r="B205" s="14" t="str">
        <x:v>microwave</x:v>
      </x:c>
      <x:c r="C205" s="14" t="str">
        <x:v>MW23FDI</x:v>
      </x:c>
      <x:c r="D205" s="18"/>
      <x:c r="E205" s="14" t="str">
        <x:v>development</x:v>
      </x:c>
      <x:c r="F205" s="15" t="n">
        <x:v>46302</x:v>
      </x:c>
      <x:c r="G205" s="18"/>
      <x:c r="H205" s="16" t="n">
        <x:v>5</x:v>
      </x:c>
      <x:c r="I205" s="14" t="str">
        <x:v>사용방법도 직관적이어서 간편합니다.
잘 작동하고 성능도 타사 제품보다 좋은 것 같아요.
배송설치 기사님도 친절히 응대해주셔서 기분좋게 제품 사용할 것 같아요.</x:v>
      </x:c>
      <x:c r="J205" s="14" t="str">
        <x:v>https://www.lge.co.kr/mkt/review/MD10738847/pdpReviewListPopup</x:v>
      </x:c>
      <x:c r="K205" s="14" t="str">
        <x:v>#divReviewList &gt; li[data-review-id="861706"] .message</x:v>
      </x:c>
      <x:c r="L205" s="14" t="str">
        <x:v>MFL68822538 Rev.00_120925</x:v>
      </x:c>
      <x:c r="M205" s="14" t="str">
        <x:v>66627d2c8ccd192b53e54bf2d6b0fa1e37c6a6724703da98e86a71121d955dc5</x:v>
      </x:c>
      <x:c r="N205" s="17" t="b">
        <x:v>0</x:v>
      </x:c>
      <x:c r="O205" s="14" t="str">
        <x:v>LGE-R5-V2-BODYGROUP-861706</x:v>
      </x:c>
      <x:c r="P205" s="14" t="n">
        <x:v>46302.07384336805</x:v>
      </x:c>
      <x:c r="Q205" s="14" t="str"/>
      <x:c r="R205" s="17" t="b">
        <x:v>0</x:v>
      </x:c>
      <x:c r="S205" s="14" t="str">
        <x:v>balanced-pilot-v2</x:v>
      </x:c>
    </x:row>
    <x:row r="206" ht="48" customHeight="1">
      <x:c r="A206" s="14" t="str">
        <x:v>861530</x:v>
      </x:c>
      <x:c r="B206" s="14" t="str">
        <x:v>microwave</x:v>
      </x:c>
      <x:c r="C206" s="14" t="str">
        <x:v>MW23FDI</x:v>
      </x:c>
      <x:c r="D206" s="18"/>
      <x:c r="E206" s="14" t="str">
        <x:v>development</x:v>
      </x:c>
      <x:c r="F206" s="15" t="n">
        <x:v>46301</x:v>
      </x:c>
      <x:c r="G206" s="18"/>
      <x:c r="H206" s="16" t="n">
        <x:v>5</x:v>
      </x:c>
      <x:c r="I206" s="14" t="str">
        <x:v>Lg라는 브랜드이니 만큼 이번에도 만족했으면 좋겠습니다.</x:v>
      </x:c>
      <x:c r="J206" s="14" t="str">
        <x:v>https://www.lge.co.kr/mkt/review/MD10738847/pdpReviewListPopup</x:v>
      </x:c>
      <x:c r="K206" s="14" t="str">
        <x:v>#divReviewList &gt; li[data-review-id="861530"] .message</x:v>
      </x:c>
      <x:c r="L206" s="14" t="str">
        <x:v>MFL68822538 Rev.00_120925</x:v>
      </x:c>
      <x:c r="M206" s="14" t="str">
        <x:v>179684d70016aa1557682917ef7660f7a1a37653597f9ebfd1c0d434eb195546</x:v>
      </x:c>
      <x:c r="N206" s="17" t="b">
        <x:v>0</x:v>
      </x:c>
      <x:c r="O206" s="14" t="str">
        <x:v>LGE-R5-V2-BODYGROUP-861530</x:v>
      </x:c>
      <x:c r="P206" s="14" t="n">
        <x:v>46302.07384336805</x:v>
      </x:c>
      <x:c r="Q206" s="14" t="str"/>
      <x:c r="R206" s="17" t="b">
        <x:v>0</x:v>
      </x:c>
      <x:c r="S206" s="14" t="str">
        <x:v>balanced-pilot-v2</x:v>
      </x:c>
    </x:row>
    <x:row r="207" ht="144" customHeight="1">
      <x:c r="A207" s="14" t="str">
        <x:v>861073</x:v>
      </x:c>
      <x:c r="B207" s="14" t="str">
        <x:v>microwave</x:v>
      </x:c>
      <x:c r="C207" s="14" t="str">
        <x:v>MW23FDI</x:v>
      </x:c>
      <x:c r="D207" s="18"/>
      <x:c r="E207" s="14" t="str">
        <x:v>development</x:v>
      </x:c>
      <x:c r="F207" s="15" t="n">
        <x:v>46301</x:v>
      </x:c>
      <x:c r="G207" s="18"/>
      <x:c r="H207" s="16" t="n">
        <x:v>5</x:v>
      </x:c>
      <x:c r="I207" s="14" t="str">
        <x:v>광파 오븐을 실수로 고장 내어
전자렌지 용도로만 실용적인 것 구입했는데 만족합니다.
사이즈는 사진 보다시피 광파오븐은
저 자리에 꽉 찼는데 여유롭네요.
광파 오븐은 900w 였는데 요건 1000w니
좀 더 빠르게 익고 데워지고 하려나요.
잘 쓸게요. 글고 가격은 LG 공식몰이
더 저렴한 경우가 많긴 하네요.
앞으로도 공식몰서 자주 구입할 생각.</x:v>
      </x:c>
      <x:c r="J207" s="14" t="str">
        <x:v>https://www.lge.co.kr/mkt/review/MD10738847/pdpReviewListPopup</x:v>
      </x:c>
      <x:c r="K207" s="14" t="str">
        <x:v>#divReviewList &gt; li[data-review-id="861073"] .message</x:v>
      </x:c>
      <x:c r="L207" s="14" t="str">
        <x:v>MFL68822538 Rev.00_120925</x:v>
      </x:c>
      <x:c r="M207" s="14" t="str">
        <x:v>01badb6fbdbd1e8a8b659a3764617ccf26ca0491bb7f92b5e6451de137ee92c8</x:v>
      </x:c>
      <x:c r="N207" s="17" t="b">
        <x:v>0</x:v>
      </x:c>
      <x:c r="O207" s="14" t="str">
        <x:v>LGE-R5-V2-BODYGROUP-861073</x:v>
      </x:c>
      <x:c r="P207" s="14" t="n">
        <x:v>46302.07384336805</x:v>
      </x:c>
      <x:c r="Q207" s="14" t="str"/>
      <x:c r="R207" s="17" t="b">
        <x:v>0</x:v>
      </x:c>
      <x:c r="S207" s="14" t="str">
        <x:v>balanced-pilot-v2</x:v>
      </x:c>
    </x:row>
    <x:row r="208" ht="84" customHeight="1">
      <x:c r="A208" s="14" t="str">
        <x:v>860964</x:v>
      </x:c>
      <x:c r="B208" s="14" t="str">
        <x:v>microwave</x:v>
      </x:c>
      <x:c r="C208" s="14" t="str">
        <x:v>MW23FDI</x:v>
      </x:c>
      <x:c r="D208" s="18"/>
      <x:c r="E208" s="14" t="str">
        <x:v>development</x:v>
      </x:c>
      <x:c r="F208" s="15" t="n">
        <x:v>46301</x:v>
      </x:c>
      <x:c r="G208" s="18"/>
      <x:c r="H208" s="16" t="n">
        <x:v>5</x:v>
      </x:c>
      <x:c r="I208" s="14" t="str">
        <x:v>20리터 크기 쓰다가 바꿨는데
안에가 넓직하고 좋아요
오래사용할것 같아요
쓰던거 수거도 해주셔서
바로 정리됬네요 감사합니다</x:v>
      </x:c>
      <x:c r="J208" s="14" t="str">
        <x:v>https://www.lge.co.kr/mkt/review/MD10738847/pdpReviewListPopup</x:v>
      </x:c>
      <x:c r="K208" s="14" t="str">
        <x:v>#divReviewList &gt; li[data-review-id="860964"] .message</x:v>
      </x:c>
      <x:c r="L208" s="14" t="str">
        <x:v>MFL68822538 Rev.00_120925</x:v>
      </x:c>
      <x:c r="M208" s="14" t="str">
        <x:v>43cc1a184e407d1d7c7aa736761aadc8497b9cce2f52632fb3e0e7516d58f191</x:v>
      </x:c>
      <x:c r="N208" s="17" t="b">
        <x:v>0</x:v>
      </x:c>
      <x:c r="O208" s="14" t="str">
        <x:v>LGE-R5-V2-BODYGROUP-860964</x:v>
      </x:c>
      <x:c r="P208" s="14" t="n">
        <x:v>46302.07384336805</x:v>
      </x:c>
      <x:c r="Q208" s="14" t="str"/>
      <x:c r="R208" s="17" t="b">
        <x:v>0</x:v>
      </x:c>
      <x:c r="S208" s="14" t="str">
        <x:v>balanced-pilot-v2</x:v>
      </x:c>
    </x:row>
    <x:row r="209" ht="48" customHeight="1">
      <x:c r="A209" s="14" t="str">
        <x:v>860603</x:v>
      </x:c>
      <x:c r="B209" s="14" t="str">
        <x:v>microwave</x:v>
      </x:c>
      <x:c r="C209" s="14" t="str">
        <x:v>MW23FDI</x:v>
      </x:c>
      <x:c r="D209" s="18"/>
      <x:c r="E209" s="14" t="str">
        <x:v>demonstration</x:v>
      </x:c>
      <x:c r="F209" s="15" t="n">
        <x:v>46300</x:v>
      </x:c>
      <x:c r="G209" s="18"/>
      <x:c r="H209" s="16" t="n">
        <x:v>5</x:v>
      </x:c>
      <x:c r="I209" s="14" t="str">
        <x:v>이사로 가전은 모두 lg로 구입했습니다
제품 디자인이 고급스럽고 작동이 잘되서 좋아요</x:v>
      </x:c>
      <x:c r="J209" s="14" t="str">
        <x:v>https://www.lge.co.kr/mkt/review/MD10738847/pdpReviewListPopup</x:v>
      </x:c>
      <x:c r="K209" s="14" t="str">
        <x:v>#divReviewList &gt; li[data-review-id="860603"] .message</x:v>
      </x:c>
      <x:c r="L209" s="14" t="str">
        <x:v>MFL68822538 Rev.00_120925</x:v>
      </x:c>
      <x:c r="M209" s="14" t="str">
        <x:v>5e69a49d9385ad060fcab0587581c6c1ebcdd562fe3e6f78b6fb76e49001bf49</x:v>
      </x:c>
      <x:c r="N209" s="17" t="b">
        <x:v>0</x:v>
      </x:c>
      <x:c r="O209" s="14" t="str">
        <x:v>LGE-R5-V2-BODYGROUP-860603</x:v>
      </x:c>
      <x:c r="P209" s="14" t="n">
        <x:v>46302.07384336805</x:v>
      </x:c>
      <x:c r="Q209" s="14" t="str"/>
      <x:c r="R209" s="17" t="b">
        <x:v>0</x:v>
      </x:c>
      <x:c r="S209" s="14" t="str">
        <x:v>balanced-pilot-v2</x:v>
      </x:c>
    </x:row>
    <x:row r="210" ht="54" customHeight="1">
      <x:c r="A210" s="14" t="str">
        <x:v>860194</x:v>
      </x:c>
      <x:c r="B210" s="14" t="str">
        <x:v>microwave</x:v>
      </x:c>
      <x:c r="C210" s="14" t="str">
        <x:v>MW23FDI</x:v>
      </x:c>
      <x:c r="D210" s="18"/>
      <x:c r="E210" s="14" t="str">
        <x:v>development</x:v>
      </x:c>
      <x:c r="F210" s="15" t="n">
        <x:v>46300</x:v>
      </x:c>
      <x:c r="G210" s="18"/>
      <x:c r="H210" s="16" t="n">
        <x:v>5</x:v>
      </x:c>
      <x:c r="I210" s="14" t="str">
        <x:v>포인트로 주문했어요
냉장고랑 전자레인지랑 장에 딱 맞아요
색상도 블랙이 보여서 더 이뿌네요</x:v>
      </x:c>
      <x:c r="J210" s="14" t="str">
        <x:v>https://www.lge.co.kr/mkt/review/MD10738847/pdpReviewListPopup</x:v>
      </x:c>
      <x:c r="K210" s="14" t="str">
        <x:v>#divReviewList &gt; li[data-review-id="860194"] .message</x:v>
      </x:c>
      <x:c r="L210" s="14" t="str">
        <x:v>MFL68822538 Rev.00_120925</x:v>
      </x:c>
      <x:c r="M210" s="14" t="str">
        <x:v>c8a2aa38c4bea41b4a5e18f41c3c0e078f0ef1d67e081f064b5966e05752b69b</x:v>
      </x:c>
      <x:c r="N210" s="17" t="b">
        <x:v>0</x:v>
      </x:c>
      <x:c r="O210" s="14" t="str">
        <x:v>LGE-R5-V2-BODYGROUP-860194</x:v>
      </x:c>
      <x:c r="P210" s="14" t="n">
        <x:v>46302.07384336805</x:v>
      </x:c>
      <x:c r="Q210" s="14" t="str"/>
      <x:c r="R210" s="17" t="b">
        <x:v>0</x:v>
      </x:c>
      <x:c r="S210" s="14" t="str">
        <x:v>balanced-pilot-v2</x:v>
      </x:c>
    </x:row>
    <x:row r="211" ht="69" customHeight="1">
      <x:c r="A211" s="14" t="str">
        <x:v>860056</x:v>
      </x:c>
      <x:c r="B211" s="14" t="str">
        <x:v>microwave</x:v>
      </x:c>
      <x:c r="C211" s="14" t="str">
        <x:v>MW23FDI</x:v>
      </x:c>
      <x:c r="D211" s="18"/>
      <x:c r="E211" s="14" t="str">
        <x:v>demonstration</x:v>
      </x:c>
      <x:c r="F211" s="15" t="n">
        <x:v>46300</x:v>
      </x:c>
      <x:c r="G211" s="18"/>
      <x:c r="H211" s="16" t="n">
        <x:v>5</x:v>
      </x:c>
      <x:c r="I211" s="14" t="str">
        <x:v>이사하면서 새로 필요해서 알아보다가 구매했어요. 광파랑 고민 많이 했는데 집에 에프가 따로 있어서 전자레인지민 구입했고, 개인적으로 사이즈가 미니멀한 가전을 선호해서 최대한 비교하고 구매했어요. 기존 가전들과 색상이 잘 어울려서 좋았고 가전은 엘지답게 성능은 좋아요.
너무 만족하면서 사용하고 있습니다:)</x:v>
      </x:c>
      <x:c r="J211" s="14" t="str">
        <x:v>https://www.lge.co.kr/mkt/review/MD10738847/pdpReviewListPopup</x:v>
      </x:c>
      <x:c r="K211" s="14" t="str">
        <x:v>#divReviewList &gt; li[data-review-id="860056"] .message</x:v>
      </x:c>
      <x:c r="L211" s="14" t="str">
        <x:v>MFL68822538 Rev.00_120925</x:v>
      </x:c>
      <x:c r="M211" s="14" t="str">
        <x:v>5344aba804075693aba2115383a70df33ed63a0ef81351f981a895d808f2c835</x:v>
      </x:c>
      <x:c r="N211" s="17" t="b">
        <x:v>0</x:v>
      </x:c>
      <x:c r="O211" s="14" t="str">
        <x:v>LGE-R5-V2-BODYGROUP-860056</x:v>
      </x:c>
      <x:c r="P211" s="14" t="n">
        <x:v>46302.07384336805</x:v>
      </x:c>
      <x:c r="Q211" s="14" t="str"/>
      <x:c r="R211" s="17" t="b">
        <x:v>0</x:v>
      </x:c>
      <x:c r="S211" s="14" t="str">
        <x:v>balanced-pilot-v2</x:v>
      </x:c>
    </x:row>
    <x:row r="212" ht="48" customHeight="1">
      <x:c r="A212" s="14" t="str">
        <x:v>859746</x:v>
      </x:c>
      <x:c r="B212" s="14" t="str">
        <x:v>microwave</x:v>
      </x:c>
      <x:c r="C212" s="14" t="str">
        <x:v>MW23FDI</x:v>
      </x:c>
      <x:c r="D212" s="18"/>
      <x:c r="E212" s="14" t="str">
        <x:v>development</x:v>
      </x:c>
      <x:c r="F212" s="15" t="n">
        <x:v>46299</x:v>
      </x:c>
      <x:c r="G212" s="18"/>
      <x:c r="H212" s="16" t="n">
        <x:v>5</x:v>
      </x:c>
      <x:c r="I212" s="14" t="str">
        <x:v>금방 데워지고 아주 좋음. 깔끔하고, 깨끗하고. 가전은 LG</x:v>
      </x:c>
      <x:c r="J212" s="14" t="str">
        <x:v>https://www.lge.co.kr/mkt/review/MD10738847/pdpReviewListPopup</x:v>
      </x:c>
      <x:c r="K212" s="14" t="str">
        <x:v>#divReviewList &gt; li[data-review-id="859746"] .message</x:v>
      </x:c>
      <x:c r="L212" s="14" t="str">
        <x:v>MFL68822538 Rev.00_120925</x:v>
      </x:c>
      <x:c r="M212" s="14" t="str">
        <x:v>2a4038133e595925308eca5422662ad94c4bfdb5d5e646bd960f3bcf7d5bd0ba</x:v>
      </x:c>
      <x:c r="N212" s="17" t="b">
        <x:v>0</x:v>
      </x:c>
      <x:c r="O212" s="14" t="str">
        <x:v>LGE-R5-V2-BODYGROUP-859746</x:v>
      </x:c>
      <x:c r="P212" s="14" t="n">
        <x:v>46302.07384336805</x:v>
      </x:c>
      <x:c r="Q212" s="14" t="str"/>
      <x:c r="R212" s="17" t="b">
        <x:v>0</x:v>
      </x:c>
      <x:c r="S212" s="14" t="str">
        <x:v>balanced-pilot-v2</x:v>
      </x:c>
    </x:row>
    <x:row r="213" ht="144" customHeight="1">
      <x:c r="A213" s="14" t="str">
        <x:v>851786</x:v>
      </x:c>
      <x:c r="B213" s="14" t="str">
        <x:v>microwave</x:v>
      </x:c>
      <x:c r="C213" s="14" t="str">
        <x:v>MW23FDI</x:v>
      </x:c>
      <x:c r="D213" s="18"/>
      <x:c r="E213" s="14" t="str">
        <x:v>demonstration</x:v>
      </x:c>
      <x:c r="F213" s="15" t="n">
        <x:v>46289</x:v>
      </x:c>
      <x:c r="G213" s="18"/>
      <x:c r="H213" s="16" t="n">
        <x:v>1</x:v>
      </x:c>
      <x:c r="I213" s="14" t="str">
        <x:v>부품교환을 받아도 제대로 작동이 안되서 최종적으로 환불했습니다.
저도 구매 후 가열이 다른 제품보다 현저히 늦다고 느꼈고, 그래서 A/S요청을 할때도 확신은 없었는데, 이러한 문제를 LG에서도 이미 알고 있더라구요.
많은 질문들이 출력이 너무 약하다, 오래 데워도 음식이 따뜻하지 않다는 내용이 많은데, 아직까지 LG에서는 개선을 하지 않고 같은 모델을 계속 판매하고 있는 이유를 모르겠습니다.
기본설정이 700w여서 1000w바꾸라는 기계적인 답변은 적용해볼만은 하지만 의미가 없습니다. 왜냐하면 다른 700w 전자레인지도, 햇반을 2분 돌리면 따뜻해야 하는데, 이 제품은 4분정도 해야 먹을만 합니다.</x:v>
      </x:c>
      <x:c r="J213" s="14" t="str">
        <x:v>https://www.lge.co.kr/mkt/review/MD10738847/pdpReviewListPopup</x:v>
      </x:c>
      <x:c r="K213" s="14" t="str">
        <x:v>#divReviewList &gt; li[data-review-id="851786"] .message</x:v>
      </x:c>
      <x:c r="L213" s="14" t="str">
        <x:v>MFL68822538 Rev.00_120925</x:v>
      </x:c>
      <x:c r="M213" s="14" t="str">
        <x:v>66d941a5ceae3e42ace5bf452b0649a4d0b2d6e0f145675c864d659ae56106da</x:v>
      </x:c>
      <x:c r="N213" s="17" t="b">
        <x:v>0</x:v>
      </x:c>
      <x:c r="O213" s="14" t="str">
        <x:v>LGE-R5-V2-BODYGROUP-851786</x:v>
      </x:c>
      <x:c r="P213" s="14" t="n">
        <x:v>46302.074265034724</x:v>
      </x:c>
      <x:c r="Q213" s="14" t="str"/>
      <x:c r="R213" s="17" t="b">
        <x:v>0</x:v>
      </x:c>
      <x:c r="S213" s="14" t="str">
        <x:v>balanced-pilot-v2</x:v>
      </x:c>
    </x:row>
    <x:row r="214" ht="54" customHeight="1">
      <x:c r="A214" s="14" t="str">
        <x:v>845233</x:v>
      </x:c>
      <x:c r="B214" s="14" t="str">
        <x:v>microwave</x:v>
      </x:c>
      <x:c r="C214" s="14" t="str">
        <x:v>MW23FDI</x:v>
      </x:c>
      <x:c r="D214" s="18"/>
      <x:c r="E214" s="14" t="str">
        <x:v>demonstration</x:v>
      </x:c>
      <x:c r="F214" s="15" t="n">
        <x:v>46279</x:v>
      </x:c>
      <x:c r="G214" s="18"/>
      <x:c r="H214" s="16" t="n">
        <x:v>1</x:v>
      </x:c>
      <x:c r="I214" s="14" t="str">
        <x:v>음식물이 잘 안데워짐
제품문제인지 중국산보다 성능이 별로인듯
구매 실망</x:v>
      </x:c>
      <x:c r="J214" s="14" t="str">
        <x:v>https://www.lge.co.kr/mkt/review/MD10738847/pdpReviewListPopup</x:v>
      </x:c>
      <x:c r="K214" s="14" t="str">
        <x:v>#divReviewList &gt; li[data-review-id="845233"] .message</x:v>
      </x:c>
      <x:c r="L214" s="14" t="str">
        <x:v>MFL68822538 Rev.00_120925</x:v>
      </x:c>
      <x:c r="M214" s="14" t="str">
        <x:v>472916b69c0015234370238fd0500298f5af29670286eff7a951ff9f48e184b0</x:v>
      </x:c>
      <x:c r="N214" s="17" t="b">
        <x:v>0</x:v>
      </x:c>
      <x:c r="O214" s="14" t="str">
        <x:v>LGE-R5-V2-BODYGROUP-845233</x:v>
      </x:c>
      <x:c r="P214" s="14" t="n">
        <x:v>46302.074265034724</x:v>
      </x:c>
      <x:c r="Q214" s="14" t="str"/>
      <x:c r="R214" s="17" t="b">
        <x:v>0</x:v>
      </x:c>
      <x:c r="S214" s="14" t="str">
        <x:v>balanced-pilot-v2</x:v>
      </x:c>
    </x:row>
    <x:row r="215" ht="84" customHeight="1">
      <x:c r="A215" s="14" t="str">
        <x:v>842625</x:v>
      </x:c>
      <x:c r="B215" s="14" t="str">
        <x:v>microwave</x:v>
      </x:c>
      <x:c r="C215" s="14" t="str">
        <x:v>MW23FDI</x:v>
      </x:c>
      <x:c r="D215" s="18"/>
      <x:c r="E215" s="14" t="str">
        <x:v>development</x:v>
      </x:c>
      <x:c r="F215" s="15" t="n">
        <x:v>46276</x:v>
      </x:c>
      <x:c r="G215" s="18"/>
      <x:c r="H215" s="16" t="n">
        <x:v>1</x:v>
      </x:c>
      <x:c r="I215" s="14" t="str">
        <x:v>이사하면서 가전제품을 구입하게 되서, 적립금으로 전자레인지를 바꿨는데, 성능에 문제가 있어서(햅반을 세번 돌려야 먹을수있을정도의 출력) AS요청을 드렸는데, 가지고 있는 제품이 없어서 신청해서 오려면 한참 걸린다고 해서 기다렸는데, 오늘 방문해서 제품 사진과 구매내역을 사진으로 찍어가셨는데, 알고보니 이 제품이 지금 판매중지가 된 상품이네요, 신제품으로 알고 구매했는데, 원래 문제가 있는 제품이였군요
AS를 받던 환불을 받던 너무 번거롭게 귀찮네요</x:v>
      </x:c>
      <x:c r="J215" s="14" t="str">
        <x:v>https://www.lge.co.kr/mkt/review/MD10738847/pdpReviewListPopup</x:v>
      </x:c>
      <x:c r="K215" s="14" t="str">
        <x:v>#divReviewList &gt; li[data-review-id="842625"] .message</x:v>
      </x:c>
      <x:c r="L215" s="14" t="str">
        <x:v>MFL68822538 Rev.00_120925</x:v>
      </x:c>
      <x:c r="M215" s="14" t="str">
        <x:v>3e7bd8979842ed81aad986dd3e4fabcec05625b03db9b046afe8a6c7d406da09</x:v>
      </x:c>
      <x:c r="N215" s="17" t="b">
        <x:v>0</x:v>
      </x:c>
      <x:c r="O215" s="14" t="str">
        <x:v>LGE-R5-V2-BODYGROUP-842625</x:v>
      </x:c>
      <x:c r="P215" s="14" t="n">
        <x:v>46302.074265034724</x:v>
      </x:c>
      <x:c r="Q215" s="14" t="str"/>
      <x:c r="R215" s="17" t="b">
        <x:v>0</x:v>
      </x:c>
      <x:c r="S215" s="14" t="str">
        <x:v>balanced-pilot-v2</x:v>
      </x:c>
    </x:row>
    <x:row r="216" ht="234" customHeight="1">
      <x:c r="A216" s="14" t="str">
        <x:v>837305</x:v>
      </x:c>
      <x:c r="B216" s="14" t="str">
        <x:v>microwave</x:v>
      </x:c>
      <x:c r="C216" s="14" t="str">
        <x:v>MW23FDI</x:v>
      </x:c>
      <x:c r="D216" s="18"/>
      <x:c r="E216" s="14" t="str">
        <x:v>development</x:v>
      </x:c>
      <x:c r="F216" s="15" t="n">
        <x:v>46270</x:v>
      </x:c>
      <x:c r="G216" s="18"/>
      <x:c r="H216" s="16" t="n">
        <x:v>1</x:v>
      </x:c>
      <x:c r="I216" s="14" t="str">
        <x:v>별점 1개도 아깝네요.
1000W 출력이 아니라 100W 출력 아닌가요? 1분 정도면 데워진다고 되어 있는 냉동 핫도그 데웠는데 냉동 상태 그대로라 놀랐습니다. 미지근한 것도 아닌 완전 차가운 냉동상태. 제품 설명서 대로 수동데우기 간편데우기 출력 1000W 설정한 겁니다.
테스트를 위해 정수기 찬물 120ml 컵에 담고 1분으로 여러번 돌려봤는데 한번은 잘 데워지길래 정상인가 싶었지만 새로 돌렸더니 차가운 컵 그대로. 다시 돌렸더니 미지근하게 데워졌네요. 출력이 제대로 설정 되지 못하는 제품입니다.
LG 같은 대기업이 단순한 전자레인지 제품 생산관리가 엉망이라니 완전 실망입니다. 10만원대 저가 제품이라고 제품 검수를 대충 하나봐요.
Q&amp;A 보니 같은 증상을 겪는 분이 많네요. 심지어 AS받아도 똑같다는 글과 환불 권유까지 있습니다. 이 정도면 리콜하던지 환불조치 해줘야 하는 거 아닌가요?
그동안 LG제품에 대한 신뢰가 컸는데 이젠 더이상 신뢰가 안갑니다.
이 제품 구매 고려하시는 분들은 낮은 평점 후기, Q&amp;A 꼭 확인하시고 개선되었을 때 구매하시기 바랍니다.
20년 동안 사용하던 700W 타회사 제품도 고장나지 않았지만 오래되서 LG제품으로 새로 구입했는데 차라리 700W 고정 출력 제품으로 사는게 나을뻔 했네요. 1000W까지 출력 조정이 가능하다 길래 샀는데 이건 뭐 무늬만 1000W 제품입니다.</x:v>
      </x:c>
      <x:c r="J216" s="14" t="str">
        <x:v>https://www.lge.co.kr/mkt/review/MD10738847/pdpReviewListPopup</x:v>
      </x:c>
      <x:c r="K216" s="14" t="str">
        <x:v>#divReviewList &gt; li[data-review-id="837305"] .message</x:v>
      </x:c>
      <x:c r="L216" s="14" t="str">
        <x:v>MFL68822538 Rev.00_120925</x:v>
      </x:c>
      <x:c r="M216" s="14" t="str">
        <x:v>f56064130d879082d13a5a83a2898e60559cb887f9947f02ba7a0c5a339a8a07</x:v>
      </x:c>
      <x:c r="N216" s="17" t="b">
        <x:v>0</x:v>
      </x:c>
      <x:c r="O216" s="14" t="str">
        <x:v>LGE-R5-V2-BODYGROUP-837305</x:v>
      </x:c>
      <x:c r="P216" s="14" t="n">
        <x:v>46302.074265034724</x:v>
      </x:c>
      <x:c r="Q216" s="14" t="str"/>
      <x:c r="R216" s="17" t="b">
        <x:v>0</x:v>
      </x:c>
      <x:c r="S216" s="14" t="str">
        <x:v>balanced-pilot-v2</x:v>
      </x:c>
    </x:row>
    <x:row r="217" ht="48" customHeight="1">
      <x:c r="A217" s="14" t="str">
        <x:v>830617</x:v>
      </x:c>
      <x:c r="B217" s="14" t="str">
        <x:v>microwave</x:v>
      </x:c>
      <x:c r="C217" s="14" t="str">
        <x:v>MW23FDI</x:v>
      </x:c>
      <x:c r="D217" s="18"/>
      <x:c r="E217" s="14" t="str">
        <x:v>development</x:v>
      </x:c>
      <x:c r="F217" s="15" t="n">
        <x:v>46262</x:v>
      </x:c>
      <x:c r="G217" s="18"/>
      <x:c r="H217" s="16" t="n">
        <x:v>1</x:v>
      </x:c>
      <x:c r="I217" s="14" t="str">
        <x:v>출력이 약해서 as 신청중인데 뭘 리뷰를 남기라고 그러나..</x:v>
      </x:c>
      <x:c r="J217" s="14" t="str">
        <x:v>https://www.lge.co.kr/mkt/review/MD10738847/pdpReviewListPopup</x:v>
      </x:c>
      <x:c r="K217" s="14" t="str">
        <x:v>#divReviewList &gt; li[data-review-id="830617"] .message</x:v>
      </x:c>
      <x:c r="L217" s="14" t="str">
        <x:v>MFL68822538 Rev.00_120925</x:v>
      </x:c>
      <x:c r="M217" s="14" t="str">
        <x:v>b6b2e310c945eb7a2435f3ee10278822feed6e2c55213c079fe4af72540800af</x:v>
      </x:c>
      <x:c r="N217" s="17" t="b">
        <x:v>0</x:v>
      </x:c>
      <x:c r="O217" s="14" t="str">
        <x:v>LGE-R5-V2-BODYGROUP-830617</x:v>
      </x:c>
      <x:c r="P217" s="14" t="n">
        <x:v>46302.074265034724</x:v>
      </x:c>
      <x:c r="Q217" s="14" t="str"/>
      <x:c r="R217" s="17" t="b">
        <x:v>0</x:v>
      </x:c>
      <x:c r="S217" s="14" t="str">
        <x:v>balanced-pilot-v2</x:v>
      </x:c>
    </x:row>
    <x:row r="218" ht="84" customHeight="1">
      <x:c r="A218" s="14" t="str">
        <x:v>826699</x:v>
      </x:c>
      <x:c r="B218" s="14" t="str">
        <x:v>microwave</x:v>
      </x:c>
      <x:c r="C218" s="14" t="str">
        <x:v>MW23FDI</x:v>
      </x:c>
      <x:c r="D218" s="18"/>
      <x:c r="E218" s="14" t="str">
        <x:v>independent_evaluation</x:v>
      </x:c>
      <x:c r="F218" s="15" t="n">
        <x:v>46257</x:v>
      </x:c>
      <x:c r="G218" s="18"/>
      <x:c r="H218" s="16" t="n">
        <x:v>1</x:v>
      </x:c>
      <x:c r="I218" s="14" t="str">
        <x:v>10년쓴 전자레인지가 고장나서 바꿨는데
데워지질않아요. 평소 30초 데웠던 상온에있던 밥을
1분30초 데워도 미지근합니다.
다른음식도 마찬가지 1000w맞는지 의심될정도로
쓰다가 한달도 안되서 as신청합니다.</x:v>
      </x:c>
      <x:c r="J218" s="14" t="str">
        <x:v>https://www.lge.co.kr/mkt/review/MD10738847/pdpReviewListPopup</x:v>
      </x:c>
      <x:c r="K218" s="14" t="str">
        <x:v>#divReviewList &gt; li[data-review-id="826699"] .message</x:v>
      </x:c>
      <x:c r="L218" s="14" t="str">
        <x:v>MFL68822538 Rev.00_120925</x:v>
      </x:c>
      <x:c r="M218" s="14" t="str">
        <x:v>7edf76aa2aec0e0cdf09b9481a31ff02d0ff4a7417b570acba22888bc5e87382</x:v>
      </x:c>
      <x:c r="N218" s="17" t="b">
        <x:v>0</x:v>
      </x:c>
      <x:c r="O218" s="14" t="str">
        <x:v>LGE-R5-V2-BODYGROUP-826699</x:v>
      </x:c>
      <x:c r="P218" s="14" t="n">
        <x:v>46302.074265034724</x:v>
      </x:c>
      <x:c r="Q218" s="14" t="str"/>
      <x:c r="R218" s="17" t="b">
        <x:v>0</x:v>
      </x:c>
      <x:c r="S218" s="14" t="str">
        <x:v>balanced-pilot-v2</x:v>
      </x:c>
    </x:row>
    <x:row r="219" ht="48" customHeight="1">
      <x:c r="A219" s="14" t="str">
        <x:v>817359</x:v>
      </x:c>
      <x:c r="B219" s="14" t="str">
        <x:v>microwave</x:v>
      </x:c>
      <x:c r="C219" s="14" t="str">
        <x:v>MW23FDI</x:v>
      </x:c>
      <x:c r="D219" s="18"/>
      <x:c r="E219" s="14" t="str">
        <x:v>demonstration</x:v>
      </x:c>
      <x:c r="F219" s="15" t="n">
        <x:v>46245</x:v>
      </x:c>
      <x:c r="G219" s="18"/>
      <x:c r="H219" s="16" t="n">
        <x:v>1</x:v>
      </x:c>
      <x:c r="I219" s="14" t="str">
        <x:v>출력에 문제가 있어요
1000w에 3분해도 밥알이 딱딱해요</x:v>
      </x:c>
      <x:c r="J219" s="14" t="str">
        <x:v>https://www.lge.co.kr/mkt/review/MD10738847/pdpReviewListPopup</x:v>
      </x:c>
      <x:c r="K219" s="14" t="str">
        <x:v>#divReviewList &gt; li[data-review-id="817359"] .message</x:v>
      </x:c>
      <x:c r="L219" s="14" t="str">
        <x:v>MFL68822538 Rev.00_120925</x:v>
      </x:c>
      <x:c r="M219" s="14" t="str">
        <x:v>4826003c52cedca629039b26553eedaa1391c59b90ed2e16fad797eef13cd547</x:v>
      </x:c>
      <x:c r="N219" s="17" t="b">
        <x:v>0</x:v>
      </x:c>
      <x:c r="O219" s="14" t="str">
        <x:v>LGE-R5-V2-BODYGROUP-817359</x:v>
      </x:c>
      <x:c r="P219" s="14" t="n">
        <x:v>46302.074265034724</x:v>
      </x:c>
      <x:c r="Q219" s="14" t="str"/>
      <x:c r="R219" s="17" t="b">
        <x:v>0</x:v>
      </x:c>
      <x:c r="S219" s="14" t="str">
        <x:v>balanced-pilot-v2</x:v>
      </x:c>
    </x:row>
    <x:row r="220" ht="84" customHeight="1">
      <x:c r="A220" s="14" t="str">
        <x:v>816800</x:v>
      </x:c>
      <x:c r="B220" s="14" t="str">
        <x:v>microwave</x:v>
      </x:c>
      <x:c r="C220" s="14" t="str">
        <x:v>MW23FDI</x:v>
      </x:c>
      <x:c r="D220" s="18"/>
      <x:c r="E220" s="14" t="str">
        <x:v>independent_evaluation</x:v>
      </x:c>
      <x:c r="F220" s="15" t="n">
        <x:v>46245</x:v>
      </x:c>
      <x:c r="G220" s="18"/>
      <x:c r="H220" s="16" t="n">
        <x:v>1</x:v>
      </x:c>
      <x:c r="I220" s="14" t="str">
        <x:v>이제품 절대 사지마세요
제품에 문제가 있습니다 출력이 왔다갔다해요
고쳤는데도 또 발생합니다
제품의 문제인듯한데 고쳐지기전에는
사지마세요 후회합니다</x:v>
      </x:c>
      <x:c r="J220" s="14" t="str">
        <x:v>https://www.lge.co.kr/mkt/review/MD10738847/pdpReviewListPopup</x:v>
      </x:c>
      <x:c r="K220" s="14" t="str">
        <x:v>#divReviewList &gt; li[data-review-id="816800"] .message</x:v>
      </x:c>
      <x:c r="L220" s="14" t="str">
        <x:v>MFL68822538 Rev.00_120925</x:v>
      </x:c>
      <x:c r="M220" s="14" t="str">
        <x:v>555a8a9480e795e5f04310e6892842e174f8ab1c8a91653ab7163796b74f95c5</x:v>
      </x:c>
      <x:c r="N220" s="17" t="b">
        <x:v>0</x:v>
      </x:c>
      <x:c r="O220" s="14" t="str">
        <x:v>LGE-R5-V2-BODYGROUP-816800</x:v>
      </x:c>
      <x:c r="P220" s="14" t="n">
        <x:v>46302.074265034724</x:v>
      </x:c>
      <x:c r="Q220" s="14" t="str"/>
      <x:c r="R220" s="17" t="b">
        <x:v>0</x:v>
      </x:c>
      <x:c r="S220" s="14" t="str">
        <x:v>balanced-pilot-v2</x:v>
      </x:c>
    </x:row>
    <x:row r="221" ht="54" customHeight="1">
      <x:c r="A221" s="14" t="str">
        <x:v>816310</x:v>
      </x:c>
      <x:c r="B221" s="14" t="str">
        <x:v>microwave</x:v>
      </x:c>
      <x:c r="C221" s="14" t="str">
        <x:v>MW23FDI</x:v>
      </x:c>
      <x:c r="D221" s="18"/>
      <x:c r="E221" s="14" t="str">
        <x:v>development</x:v>
      </x:c>
      <x:c r="F221" s="15" t="n">
        <x:v>46244</x:v>
      </x:c>
      <x:c r="G221" s="18"/>
      <x:c r="H221" s="16" t="n">
        <x:v>1</x:v>
      </x:c>
      <x:c r="I221" s="14" t="str">
        <x:v>10년이상 사용하던 레인지 고장으로 구입했는데 밥 한공기 데우는데 5분이상 걸려서 AS 신청했더니 집에 전력이 약해서라네요. 집 전력을 확인하고 구매하는 사람도 있나요?
지금까지 전력을 생각하며 전기제품을 사용해본적 없어 황당합니다.</x:v>
      </x:c>
      <x:c r="J221" s="14" t="str">
        <x:v>https://www.lge.co.kr/mkt/review/MD10738847/pdpReviewListPopup</x:v>
      </x:c>
      <x:c r="K221" s="14" t="str">
        <x:v>#divReviewList &gt; li[data-review-id="816310"] .message</x:v>
      </x:c>
      <x:c r="L221" s="14" t="str">
        <x:v>MFL68822538 Rev.00_120925</x:v>
      </x:c>
      <x:c r="M221" s="14" t="str">
        <x:v>33f3344e5147c3399b21b897a9977d4dcafe599cb1ccd50e3eb2df56e629bbfb</x:v>
      </x:c>
      <x:c r="N221" s="17" t="b">
        <x:v>0</x:v>
      </x:c>
      <x:c r="O221" s="14" t="str">
        <x:v>LGE-R5-V2-BODYGROUP-816310</x:v>
      </x:c>
      <x:c r="P221" s="14" t="n">
        <x:v>46302.074265034724</x:v>
      </x:c>
      <x:c r="Q221" s="14" t="str"/>
      <x:c r="R221" s="17" t="b">
        <x:v>0</x:v>
      </x:c>
      <x:c r="S221" s="14" t="str">
        <x:v>balanced-pilot-v2</x:v>
      </x:c>
    </x:row>
    <x:row r="222" ht="114" customHeight="1">
      <x:c r="A222" s="14" t="str">
        <x:v>816219</x:v>
      </x:c>
      <x:c r="B222" s="14" t="str">
        <x:v>microwave</x:v>
      </x:c>
      <x:c r="C222" s="14" t="str">
        <x:v>MW23FDI</x:v>
      </x:c>
      <x:c r="D222" s="18"/>
      <x:c r="E222" s="14" t="str">
        <x:v>independent_evaluation</x:v>
      </x:c>
      <x:c r="F222" s="15" t="n">
        <x:v>46244</x:v>
      </x:c>
      <x:c r="G222" s="18"/>
      <x:c r="H222" s="16" t="n">
        <x:v>1</x:v>
      </x:c>
      <x:c r="I222" s="14" t="str">
        <x:v>평소 가전제품은 LG제품에 대한 믿음이 있어서
TV, 세탁기, 건조기, 냉장고, 공기청정기, 정수기까지
LG제품을 사용하고 있습니다
기존에 사용하던 전자레인지가 시원치않아서 LG홈페이지에서 판매1위 모델을 골라 전자레인지를 구입했습니다
사용해보니 결과는 참담하네요 데워지지않는 전자레인지를
샀더군요 냉동밥은 7분을 돌려도 시원찮고 냉장고의 반찬은
5분을 돌려도 뜨겁게 데워지지않는데 무슨 이런 전자레인지가 있습니까</x:v>
      </x:c>
      <x:c r="J222" s="14" t="str">
        <x:v>https://www.lge.co.kr/mkt/review/MD10738847/pdpReviewListPopup</x:v>
      </x:c>
      <x:c r="K222" s="14" t="str">
        <x:v>#divReviewList &gt; li[data-review-id="816219"] .message</x:v>
      </x:c>
      <x:c r="L222" s="14" t="str">
        <x:v>MFL68822538 Rev.00_120925</x:v>
      </x:c>
      <x:c r="M222" s="14" t="str">
        <x:v>4444cacc10214e027571edb12e87f2e64dd9481d21ca4b217f2867411267b9b6</x:v>
      </x:c>
      <x:c r="N222" s="17" t="b">
        <x:v>0</x:v>
      </x:c>
      <x:c r="O222" s="14" t="str">
        <x:v>LGE-R5-V2-BODYGROUP-816219</x:v>
      </x:c>
      <x:c r="P222" s="14" t="n">
        <x:v>46302.074265034724</x:v>
      </x:c>
      <x:c r="Q222" s="14" t="str"/>
      <x:c r="R222" s="17" t="b">
        <x:v>0</x:v>
      </x:c>
      <x:c r="S222" s="14" t="str">
        <x:v>balanced-pilot-v2</x:v>
      </x:c>
    </x:row>
    <x:row r="223" ht="48" customHeight="1">
      <x:c r="A223" s="14" t="str">
        <x:v>861736</x:v>
      </x:c>
      <x:c r="B223" s="14" t="str">
        <x:v>dishwasher</x:v>
      </x:c>
      <x:c r="C223" s="14" t="str">
        <x:v>DUE6BGL2E</x:v>
      </x:c>
      <x:c r="D223" s="18"/>
      <x:c r="E223" s="14" t="str">
        <x:v>development</x:v>
      </x:c>
      <x:c r="F223" s="15" t="n">
        <x:v>46302</x:v>
      </x:c>
      <x:c r="G223" s="18"/>
      <x:c r="H223" s="16" t="n">
        <x:v>5</x:v>
      </x:c>
      <x:c r="I223" s="14" t="str">
        <x:v>아주 좋아요. 식세기 없는 삶으로는 돌아갈수가 없습니다.</x:v>
      </x:c>
      <x:c r="J223" s="14" t="str">
        <x:v>https://www.lge.co.kr/mkt/review/MD10492836/pdpReviewListPopup</x:v>
      </x:c>
      <x:c r="K223" s="14" t="str">
        <x:v>#divReviewList &gt; li[data-review-id="861736"] .message</x:v>
      </x:c>
      <x:c r="L223" s="14" t="str">
        <x:v>MFL71959117 Rev.07_030626</x:v>
      </x:c>
      <x:c r="M223" s="14" t="str">
        <x:v>01212634dc874cc39e9b841948e2238aef2dd4091c27f0b1221a421201c4c9f9</x:v>
      </x:c>
      <x:c r="N223" s="17" t="b">
        <x:v>0</x:v>
      </x:c>
      <x:c r="O223" s="14" t="str">
        <x:v>LGE-R5-V2-BODYGROUP-861736</x:v>
      </x:c>
      <x:c r="P223" s="14" t="n">
        <x:v>46302.07493311343</x:v>
      </x:c>
      <x:c r="Q223" s="14" t="str"/>
      <x:c r="R223" s="17" t="b">
        <x:v>0</x:v>
      </x:c>
      <x:c r="S223" s="14" t="str">
        <x:v>balanced-pilot-v2</x:v>
      </x:c>
    </x:row>
    <x:row r="224" ht="54" customHeight="1">
      <x:c r="A224" s="14" t="str">
        <x:v>861674</x:v>
      </x:c>
      <x:c r="B224" s="14" t="str">
        <x:v>dishwasher</x:v>
      </x:c>
      <x:c r="C224" s="14" t="str">
        <x:v>DUE6BGL2E</x:v>
      </x:c>
      <x:c r="D224" s="18"/>
      <x:c r="E224" s="14" t="str">
        <x:v>development</x:v>
      </x:c>
      <x:c r="F224" s="15" t="n">
        <x:v>46301</x:v>
      </x:c>
      <x:c r="G224" s="18"/>
      <x:c r="H224" s="16" t="n">
        <x:v>5</x:v>
      </x:c>
      <x:c r="I224" s="14" t="str">
        <x:v>세척도깨끗히 되면서 아이들과 가족과 보내는 시간이생겼습니다 배송만늦출뿐 구매를왜 이렇게 늦게했나 후회만했어요 영유아가정부터 필수
입니당 당장구입하세요 가족이 화목해 집니다</x:v>
      </x:c>
      <x:c r="J224" s="14" t="str">
        <x:v>https://www.lge.co.kr/mkt/review/MD10492836/pdpReviewListPopup</x:v>
      </x:c>
      <x:c r="K224" s="14" t="str">
        <x:v>#divReviewList &gt; li[data-review-id="861674"] .message</x:v>
      </x:c>
      <x:c r="L224" s="14" t="str">
        <x:v>MFL71959117 Rev.07_030626</x:v>
      </x:c>
      <x:c r="M224" s="14" t="str">
        <x:v>0915ea5c484bf443ba762506c2c5206f078736a1f3717437691d03befd1899ed</x:v>
      </x:c>
      <x:c r="N224" s="17" t="b">
        <x:v>0</x:v>
      </x:c>
      <x:c r="O224" s="14" t="str">
        <x:v>LGE-R5-V2-BODYGROUP-861674</x:v>
      </x:c>
      <x:c r="P224" s="14" t="n">
        <x:v>46302.07493311343</x:v>
      </x:c>
      <x:c r="Q224" s="14" t="str"/>
      <x:c r="R224" s="17" t="b">
        <x:v>0</x:v>
      </x:c>
      <x:c r="S224" s="14" t="str">
        <x:v>balanced-pilot-v2</x:v>
      </x:c>
    </x:row>
    <x:row r="225" ht="48" customHeight="1">
      <x:c r="A225" s="14" t="str">
        <x:v>861588</x:v>
      </x:c>
      <x:c r="B225" s="14" t="str">
        <x:v>dishwasher</x:v>
      </x:c>
      <x:c r="C225" s="14" t="str">
        <x:v>DUE6BGL2E</x:v>
      </x:c>
      <x:c r="D225" s="18"/>
      <x:c r="E225" s="14" t="str">
        <x:v>independent_evaluation</x:v>
      </x:c>
      <x:c r="F225" s="15" t="n">
        <x:v>46301</x:v>
      </x:c>
      <x:c r="G225" s="18"/>
      <x:c r="H225" s="16" t="n">
        <x:v>5</x:v>
      </x:c>
      <x:c r="I225" s="14" t="str">
        <x:v>매번 식사할 때마다 직접 설거지하는 번거로움을 해소하기 위해 마련한 식기세척기 입니다. 건조까지 지원하여 아주 편하게 사용할 것 같습니다.</x:v>
      </x:c>
      <x:c r="J225" s="14" t="str">
        <x:v>https://www.lge.co.kr/mkt/review/MD10492836/pdpReviewListPopup</x:v>
      </x:c>
      <x:c r="K225" s="14" t="str">
        <x:v>#divReviewList &gt; li[data-review-id="861588"] .message</x:v>
      </x:c>
      <x:c r="L225" s="14" t="str">
        <x:v>MFL71959117 Rev.07_030626</x:v>
      </x:c>
      <x:c r="M225" s="14" t="str">
        <x:v>0304905fe438650e86fc16e5c3df984adfb34bb1b49f10f2b4b6f35dc2f5c6af</x:v>
      </x:c>
      <x:c r="N225" s="17" t="b">
        <x:v>0</x:v>
      </x:c>
      <x:c r="O225" s="14" t="str">
        <x:v>LGE-R5-V2-BODYGROUP-861588</x:v>
      </x:c>
      <x:c r="P225" s="14" t="n">
        <x:v>46302.07493311343</x:v>
      </x:c>
      <x:c r="Q225" s="14" t="str"/>
      <x:c r="R225" s="17" t="b">
        <x:v>0</x:v>
      </x:c>
      <x:c r="S225" s="14" t="str">
        <x:v>balanced-pilot-v2</x:v>
      </x:c>
    </x:row>
    <x:row r="226" ht="48" customHeight="1">
      <x:c r="A226" s="14" t="str">
        <x:v>861559</x:v>
      </x:c>
      <x:c r="B226" s="14" t="str">
        <x:v>dishwasher</x:v>
      </x:c>
      <x:c r="C226" s="14" t="str">
        <x:v>DUE6BGL2E</x:v>
      </x:c>
      <x:c r="D226" s="18"/>
      <x:c r="E226" s="14" t="str">
        <x:v>development</x:v>
      </x:c>
      <x:c r="F226" s="15" t="n">
        <x:v>46301</x:v>
      </x:c>
      <x:c r="G226" s="18"/>
      <x:c r="H226" s="16" t="n">
        <x:v>5</x:v>
      </x:c>
      <x:c r="I226" s="14" t="str">
        <x:v>손이아파 식세기사야지 미루다가 내집장만후 맘편히 설치했어요 설거지부담이 덜어지니 그릇에덜어먹는것도 편하고 집들이때도 혼자 설거지하는일없이 대화참여하니 넘좋아요</x:v>
      </x:c>
      <x:c r="J226" s="14" t="str">
        <x:v>https://www.lge.co.kr/mkt/review/MD10492836/pdpReviewListPopup</x:v>
      </x:c>
      <x:c r="K226" s="14" t="str">
        <x:v>#divReviewList &gt; li[data-review-id="861559"] .message</x:v>
      </x:c>
      <x:c r="L226" s="14" t="str">
        <x:v>MFL71959117 Rev.07_030626</x:v>
      </x:c>
      <x:c r="M226" s="14" t="str">
        <x:v>b50bca4ac22e556bcaea85d8fa306b2115c0d3b25d0adb7deb7b3cc7c8b8c15c</x:v>
      </x:c>
      <x:c r="N226" s="17" t="b">
        <x:v>0</x:v>
      </x:c>
      <x:c r="O226" s="14" t="str">
        <x:v>LGE-R5-V2-BODYGROUP-861559</x:v>
      </x:c>
      <x:c r="P226" s="14" t="n">
        <x:v>46302.07493311343</x:v>
      </x:c>
      <x:c r="Q226" s="14" t="str"/>
      <x:c r="R226" s="17" t="b">
        <x:v>0</x:v>
      </x:c>
      <x:c r="S226" s="14" t="str">
        <x:v>balanced-pilot-v2</x:v>
      </x:c>
    </x:row>
    <x:row r="227" ht="54" customHeight="1">
      <x:c r="A227" s="14" t="str">
        <x:v>861517</x:v>
      </x:c>
      <x:c r="B227" s="14" t="str">
        <x:v>dishwasher</x:v>
      </x:c>
      <x:c r="C227" s="14" t="str">
        <x:v>DUE6BGL2E</x:v>
      </x:c>
      <x:c r="D227" s="18"/>
      <x:c r="E227" s="14" t="str">
        <x:v>demonstration</x:v>
      </x:c>
      <x:c r="F227" s="15" t="n">
        <x:v>46301</x:v>
      </x:c>
      <x:c r="G227" s="18"/>
      <x:c r="H227" s="16" t="n">
        <x:v>5</x:v>
      </x:c>
      <x:c r="I227" s="14" t="str">
        <x:v>설겆이가 간편해졌어요ㆍ
설겆이로 집안의 말썽을 없애고 평화로운 일상이 됐어요ㆍ
아주 만족합니다ㆍ</x:v>
      </x:c>
      <x:c r="J227" s="14" t="str">
        <x:v>https://www.lge.co.kr/mkt/review/MD10492836/pdpReviewListPopup</x:v>
      </x:c>
      <x:c r="K227" s="14" t="str">
        <x:v>#divReviewList &gt; li[data-review-id="861517"] .message</x:v>
      </x:c>
      <x:c r="L227" s="14" t="str">
        <x:v>MFL71959117 Rev.07_030626</x:v>
      </x:c>
      <x:c r="M227" s="14" t="str">
        <x:v>9d5c0fdb6806ce2528e1545950e6444c8e2ad6b53f5df204015b7b9365cdb5cb</x:v>
      </x:c>
      <x:c r="N227" s="17" t="b">
        <x:v>0</x:v>
      </x:c>
      <x:c r="O227" s="14" t="str">
        <x:v>LGE-R5-V2-BODYGROUP-861517</x:v>
      </x:c>
      <x:c r="P227" s="14" t="n">
        <x:v>46302.07493311343</x:v>
      </x:c>
      <x:c r="Q227" s="14" t="str"/>
      <x:c r="R227" s="17" t="b">
        <x:v>0</x:v>
      </x:c>
      <x:c r="S227" s="14" t="str">
        <x:v>balanced-pilot-v2</x:v>
      </x:c>
    </x:row>
    <x:row r="228" ht="48" customHeight="1">
      <x:c r="A228" s="14" t="str">
        <x:v>860946</x:v>
      </x:c>
      <x:c r="B228" s="14" t="str">
        <x:v>dishwasher</x:v>
      </x:c>
      <x:c r="C228" s="14" t="str">
        <x:v>DUE6BGL2E</x:v>
      </x:c>
      <x:c r="D228" s="18"/>
      <x:c r="E228" s="14" t="str">
        <x:v>development</x:v>
      </x:c>
      <x:c r="F228" s="15" t="n">
        <x:v>46301</x:v>
      </x:c>
      <x:c r="G228" s="18"/>
      <x:c r="H228" s="16" t="n">
        <x:v>5</x:v>
      </x:c>
      <x:c r="I228" s="14" t="str">
        <x:v>이사하면서 8년만에 바꿨는데
성능이 더 좋아졌네요. 좋아요</x:v>
      </x:c>
      <x:c r="J228" s="14" t="str">
        <x:v>https://www.lge.co.kr/mkt/review/MD10492836/pdpReviewListPopup</x:v>
      </x:c>
      <x:c r="K228" s="14" t="str">
        <x:v>#divReviewList &gt; li[data-review-id="860946"] .message</x:v>
      </x:c>
      <x:c r="L228" s="14" t="str">
        <x:v>MFL71959117 Rev.07_030626</x:v>
      </x:c>
      <x:c r="M228" s="14" t="str">
        <x:v>d21d14326adadd06bd73a4473765004ea86a1d8ff18e313bc376ffd2c0f89872</x:v>
      </x:c>
      <x:c r="N228" s="17" t="b">
        <x:v>0</x:v>
      </x:c>
      <x:c r="O228" s="14" t="str">
        <x:v>LGE-R5-V2-BODYGROUP-860946</x:v>
      </x:c>
      <x:c r="P228" s="14" t="n">
        <x:v>46302.07493311343</x:v>
      </x:c>
      <x:c r="Q228" s="14" t="str"/>
      <x:c r="R228" s="17" t="b">
        <x:v>0</x:v>
      </x:c>
      <x:c r="S228" s="14" t="str">
        <x:v>balanced-pilot-v2</x:v>
      </x:c>
    </x:row>
    <x:row r="229" ht="48" customHeight="1">
      <x:c r="A229" s="14" t="str">
        <x:v>860817</x:v>
      </x:c>
      <x:c r="B229" s="14" t="str">
        <x:v>dishwasher</x:v>
      </x:c>
      <x:c r="C229" s="14" t="str">
        <x:v>DUE6BGL2E</x:v>
      </x:c>
      <x:c r="D229" s="18"/>
      <x:c r="E229" s="14" t="str">
        <x:v>development</x:v>
      </x:c>
      <x:c r="F229" s="15" t="n">
        <x:v>46300</x:v>
      </x:c>
      <x:c r="G229" s="18"/>
      <x:c r="H229" s="16" t="n">
        <x:v>5</x:v>
      </x:c>
      <x:c r="I229" s="14" t="str">
        <x:v>아주 잘 사용하고 있습니다. 처음에는 시간이 오래걸려 이게 맞나 싶었는데 그냥 돌려넣고 방치하면 되니 확실히 편합니다</x:v>
      </x:c>
      <x:c r="J229" s="14" t="str">
        <x:v>https://www.lge.co.kr/mkt/review/MD10492836/pdpReviewListPopup</x:v>
      </x:c>
      <x:c r="K229" s="14" t="str">
        <x:v>#divReviewList &gt; li[data-review-id="860817"] .message</x:v>
      </x:c>
      <x:c r="L229" s="14" t="str">
        <x:v>MFL71959117 Rev.07_030626</x:v>
      </x:c>
      <x:c r="M229" s="14" t="str">
        <x:v>ef8cf9ebd8462b918a4f7bee142f060e346d807eb8f0f054e92a47a69fb780e8</x:v>
      </x:c>
      <x:c r="N229" s="17" t="b">
        <x:v>0</x:v>
      </x:c>
      <x:c r="O229" s="14" t="str">
        <x:v>LGE-R5-V2-BODYGROUP-860817</x:v>
      </x:c>
      <x:c r="P229" s="14" t="n">
        <x:v>46302.07493311343</x:v>
      </x:c>
      <x:c r="Q229" s="14" t="str"/>
      <x:c r="R229" s="17" t="b">
        <x:v>0</x:v>
      </x:c>
      <x:c r="S229" s="14" t="str">
        <x:v>balanced-pilot-v2</x:v>
      </x:c>
    </x:row>
    <x:row r="230" ht="48" customHeight="1">
      <x:c r="A230" s="14" t="str">
        <x:v>860666</x:v>
      </x:c>
      <x:c r="B230" s="14" t="str">
        <x:v>dishwasher</x:v>
      </x:c>
      <x:c r="C230" s="14" t="str">
        <x:v>DUE6BGL2E</x:v>
      </x:c>
      <x:c r="D230" s="18"/>
      <x:c r="E230" s="14" t="str">
        <x:v>development</x:v>
      </x:c>
      <x:c r="F230" s="15" t="n">
        <x:v>46300</x:v>
      </x:c>
      <x:c r="G230" s="18"/>
      <x:c r="H230" s="16" t="n">
        <x:v>5</x:v>
      </x:c>
      <x:c r="I230" s="14" t="str">
        <x:v>디자인도 너무 찰떡이고 성능도 완전 괜찮습니다 가성비 너무 좋은 제품입니다</x:v>
      </x:c>
      <x:c r="J230" s="14" t="str">
        <x:v>https://www.lge.co.kr/mkt/review/MD10492836/pdpReviewListPopup</x:v>
      </x:c>
      <x:c r="K230" s="14" t="str">
        <x:v>#divReviewList &gt; li[data-review-id="860666"] .message</x:v>
      </x:c>
      <x:c r="L230" s="14" t="str">
        <x:v>MFL71959117 Rev.07_030626</x:v>
      </x:c>
      <x:c r="M230" s="14" t="str">
        <x:v>c3f72e058f4bd13b591d2b681bf0d89a084a4be841f02cc2cdc0b1a0dfce7675</x:v>
      </x:c>
      <x:c r="N230" s="17" t="b">
        <x:v>0</x:v>
      </x:c>
      <x:c r="O230" s="14" t="str">
        <x:v>LGE-R5-V2-BODYGROUP-860666</x:v>
      </x:c>
      <x:c r="P230" s="14" t="n">
        <x:v>46302.07493311343</x:v>
      </x:c>
      <x:c r="Q230" s="14" t="str"/>
      <x:c r="R230" s="17" t="b">
        <x:v>0</x:v>
      </x:c>
      <x:c r="S230" s="14" t="str">
        <x:v>balanced-pilot-v2</x:v>
      </x:c>
    </x:row>
    <x:row r="231" ht="48" customHeight="1">
      <x:c r="A231" s="14" t="str">
        <x:v>860642</x:v>
      </x:c>
      <x:c r="B231" s="14" t="str">
        <x:v>dishwasher</x:v>
      </x:c>
      <x:c r="C231" s="14" t="str">
        <x:v>DUE6BGL2E</x:v>
      </x:c>
      <x:c r="D231" s="18"/>
      <x:c r="E231" s="14" t="str">
        <x:v>independent_evaluation</x:v>
      </x:c>
      <x:c r="F231" s="15" t="n">
        <x:v>46300</x:v>
      </x:c>
      <x:c r="G231" s="18"/>
      <x:c r="H231" s="16" t="n">
        <x:v>5</x:v>
      </x:c>
      <x:c r="I231" s="14" t="str">
        <x:v>설거지 안해도 돼서 너무 좋아요. 덕분에 그릇 실컷 쓰고 있습니다</x:v>
      </x:c>
      <x:c r="J231" s="14" t="str">
        <x:v>https://www.lge.co.kr/mkt/review/MD10492836/pdpReviewListPopup</x:v>
      </x:c>
      <x:c r="K231" s="14" t="str">
        <x:v>#divReviewList &gt; li[data-review-id="860642"] .message</x:v>
      </x:c>
      <x:c r="L231" s="14" t="str">
        <x:v>MFL71959117 Rev.07_030626</x:v>
      </x:c>
      <x:c r="M231" s="14" t="str">
        <x:v>44841c21ea44c77f757e4a34103a40cde7550d02ada38905d04ca6304945b517</x:v>
      </x:c>
      <x:c r="N231" s="17" t="b">
        <x:v>0</x:v>
      </x:c>
      <x:c r="O231" s="14" t="str">
        <x:v>LGE-R5-V2-BODYGROUP-860642</x:v>
      </x:c>
      <x:c r="P231" s="14" t="n">
        <x:v>46302.07493311343</x:v>
      </x:c>
      <x:c r="Q231" s="14" t="str"/>
      <x:c r="R231" s="17" t="b">
        <x:v>0</x:v>
      </x:c>
      <x:c r="S231" s="14" t="str">
        <x:v>balanced-pilot-v2</x:v>
      </x:c>
    </x:row>
    <x:row r="232" ht="48" customHeight="1">
      <x:c r="A232" s="14" t="str">
        <x:v>859976</x:v>
      </x:c>
      <x:c r="B232" s="14" t="str">
        <x:v>dishwasher</x:v>
      </x:c>
      <x:c r="C232" s="14" t="str">
        <x:v>DUE6BGL2E</x:v>
      </x:c>
      <x:c r="D232" s="18"/>
      <x:c r="E232" s="14" t="str">
        <x:v>demonstration</x:v>
      </x:c>
      <x:c r="F232" s="15" t="n">
        <x:v>46299</x:v>
      </x:c>
      <x:c r="G232" s="18"/>
      <x:c r="H232" s="16" t="n">
        <x:v>5</x:v>
      </x:c>
      <x:c r="I232" s="14" t="str">
        <x:v>식세기 처음 구입했는데 설겆이를 안하니 너무 편합니다 잘 돌아가고 설겆이 안하고 넘 좋네요</x:v>
      </x:c>
      <x:c r="J232" s="14" t="str">
        <x:v>https://www.lge.co.kr/mkt/review/MD10492836/pdpReviewListPopup</x:v>
      </x:c>
      <x:c r="K232" s="14" t="str">
        <x:v>#divReviewList &gt; li[data-review-id="859976"] .message</x:v>
      </x:c>
      <x:c r="L232" s="14" t="str">
        <x:v>MFL71959117 Rev.07_030626</x:v>
      </x:c>
      <x:c r="M232" s="14" t="str">
        <x:v>a030851c6b8a73febc450b41d777d7daba9542b463c712d74b7d2a28b677783a</x:v>
      </x:c>
      <x:c r="N232" s="17" t="b">
        <x:v>0</x:v>
      </x:c>
      <x:c r="O232" s="14" t="str">
        <x:v>LGE-R5-V2-BODYGROUP-859976</x:v>
      </x:c>
      <x:c r="P232" s="14" t="n">
        <x:v>46302.07493311343</x:v>
      </x:c>
      <x:c r="Q232" s="14" t="str"/>
      <x:c r="R232" s="17" t="b">
        <x:v>0</x:v>
      </x:c>
      <x:c r="S232" s="14" t="str">
        <x:v>balanced-pilot-v2</x:v>
      </x:c>
    </x:row>
    <x:row r="233" ht="369" customHeight="1">
      <x:c r="A233" s="14" t="str">
        <x:v>762954</x:v>
      </x:c>
      <x:c r="B233" s="14" t="str">
        <x:v>dishwasher</x:v>
      </x:c>
      <x:c r="C233" s="14" t="str">
        <x:v>DUE6BGL2E</x:v>
      </x:c>
      <x:c r="D233" s="18"/>
      <x:c r="E233" s="14" t="str">
        <x:v>demonstration</x:v>
      </x:c>
      <x:c r="F233" s="15" t="n">
        <x:v>46194</x:v>
      </x:c>
      <x:c r="G233" s="18"/>
      <x:c r="H233" s="16" t="n">
        <x:v>1</x:v>
      </x:c>
      <x:c r="I233" s="14" t="str">
        <x:v>지인들이 사용중이라 후기 듣고 샀는데 제품 성능이나 디자인 등은 더할나위없이 만족합니다! 너무 편하게 쓰고 있구요.
집에 있는 모든 가전 다 LG사용중일정도로 좋아하는데 이번에 LG라는 브랜드 자체에 너무너무 실망했어요..
1) 배송문제
이사때문에 한달 전에 4/22에 미리 주문하고 5/22로 예약배송일 지정했는데 2주가 지나도 안왔어요. 어플로 확인하면 예약배송일 하루하루 늘어나기만하고 고객센터에 문의하니 공장에서 검수중이라고 하시더라구요. 예약한 날짜 2주 넘게 지나서 도착..
2) 설치업체 문제
설치는 협력업체에서 해주는거라 들었는데, 아는 인테리어업체에 함께 맡길까하다가 공식 협력업체가 그래도 더 꼼꼼히 잘해주시겠지 하고 맡겼어요.
기사님 오셔서 정말 열심히는 설치 해주셨습니다.. (2시간가량 걸리면서 열심히 해주심)
하지만 결과물이 장을 너무 짧게 자르셔서 뒤쪽이 보이고(사진1) 장이 다른 장보다 높이가 더 높고 앞으로 튀어나오고(사진2,3) 시트지는 찢어지고(사진4) 안에 구멍은 마감없이 그대로고(사진5) 시공중에 다른부분 손상(사진6)되었네요.
사진상엔 없지만 안에 철제로 된 부분을 더 길게 잘라두셔서 후에 식기세척기 설치기사님이 오셨을때 제품 넣을때 난감해하시더라고요.
첫번째 오셨던 설치기사님 가시고 난 후 도저히 아닌 것 같아서 문의한 뒤 다른기사님께서 오셔서 수습을 해주셨어요. 철제가 짧게 잘린 부분이나 마감없이 방치된 구멍 등 최대한으로 수습 해주셔서 감사했어요..
그래도 이미 짧게 잘린 장은 어쩔수가 없고 복구가 안된다해서 최대한 흐린눈하고 살려고는 하는데요.. 사용할수록 리폼한 장이 계속 점점 앞으로 튀어나오고 높이가 안맞고 그렇네요ㅠㅠ 하 너무너무 거슬려요 문 떨어질까봐 여닫을때에도 엄청 살살 닫고 그러는데도 점점 틀어져요
이미 장 다 잘라버려서 복구도 안되는데 새로 이사한 집이라 볼때마다 속상하고 그렇습니다..</x:v>
      </x:c>
      <x:c r="J233" s="14" t="str">
        <x:v>https://www.lge.co.kr/mkt/review/MD10492836/pdpReviewListPopup</x:v>
      </x:c>
      <x:c r="K233" s="14" t="str">
        <x:v>#divReviewList &gt; li[data-review-id="762954"] .message</x:v>
      </x:c>
      <x:c r="L233" s="14" t="str">
        <x:v>MFL71959117 Rev.07_030626</x:v>
      </x:c>
      <x:c r="M233" s="14" t="str">
        <x:v>ab6fb4f74e9ffdfbdc8de1b5945b51d604cc00844c55ad22167f62d1de6ff130</x:v>
      </x:c>
      <x:c r="N233" s="17" t="b">
        <x:v>0</x:v>
      </x:c>
      <x:c r="O233" s="14" t="str">
        <x:v>LGE-R5-V2-BODYGROUP-762954</x:v>
      </x:c>
      <x:c r="P233" s="14" t="n">
        <x:v>46302.07530359954</x:v>
      </x:c>
      <x:c r="Q233" s="14" t="str"/>
      <x:c r="R233" s="17" t="b">
        <x:v>0</x:v>
      </x:c>
      <x:c r="S233" s="14" t="str">
        <x:v>balanced-pilot-v2</x:v>
      </x:c>
    </x:row>
    <x:row r="234" ht="69" customHeight="1">
      <x:c r="A234" s="14" t="str">
        <x:v>752651</x:v>
      </x:c>
      <x:c r="B234" s="14" t="str">
        <x:v>dishwasher</x:v>
      </x:c>
      <x:c r="C234" s="14" t="str">
        <x:v>DUE6BGL2E</x:v>
      </x:c>
      <x:c r="D234" s="18"/>
      <x:c r="E234" s="14" t="str">
        <x:v>development</x:v>
      </x:c>
      <x:c r="F234" s="15" t="n">
        <x:v>46183</x:v>
      </x:c>
      <x:c r="G234" s="18"/>
      <x:c r="H234" s="16" t="n">
        <x:v>1</x:v>
      </x:c>
      <x:c r="I234" s="14" t="str">
        <x:v>집사람이 다리가 많이 아파해서 설거지라도 좀 편하게 했으면 하는 생각에 구입해서 사용했습니다.
1개월정도 사용하고 회전날개등 깨끗하게 청소하고 사용한다고했는데 어느 순간부터 컵, 그릇등에서 물비린내가 나기 시작했습니다. 이제는 식기 세척기 구입해서 3달 정도 사용하고는 다시 손으로 설거지하고
있습니다. 구입한다고 적지않은 금액을 지불했는데 좀 아쉽네요..</x:v>
      </x:c>
      <x:c r="J234" s="14" t="str">
        <x:v>https://www.lge.co.kr/mkt/review/MD10492836/pdpReviewListPopup</x:v>
      </x:c>
      <x:c r="K234" s="14" t="str">
        <x:v>#divReviewList &gt; li[data-review-id="752651"] .message</x:v>
      </x:c>
      <x:c r="L234" s="14" t="str">
        <x:v>MFL71959117 Rev.07_030626</x:v>
      </x:c>
      <x:c r="M234" s="14" t="str">
        <x:v>7798f3f8413d5b3dde2c0a82626e800799ee4b3b5ba8025e4ee65143611d0d85</x:v>
      </x:c>
      <x:c r="N234" s="17" t="b">
        <x:v>0</x:v>
      </x:c>
      <x:c r="O234" s="14" t="str">
        <x:v>LGE-R5-V2-BODYGROUP-752651</x:v>
      </x:c>
      <x:c r="P234" s="14" t="n">
        <x:v>46302.07530359954</x:v>
      </x:c>
      <x:c r="Q234" s="14" t="str"/>
      <x:c r="R234" s="17" t="b">
        <x:v>0</x:v>
      </x:c>
      <x:c r="S234" s="14" t="str">
        <x:v>balanced-pilot-v2</x:v>
      </x:c>
    </x:row>
    <x:row r="235" ht="159" customHeight="1">
      <x:c r="A235" s="14" t="str">
        <x:v>669584</x:v>
      </x:c>
      <x:c r="B235" s="14" t="str">
        <x:v>dishwasher</x:v>
      </x:c>
      <x:c r="C235" s="14" t="str">
        <x:v>DUE6BGL2E</x:v>
      </x:c>
      <x:c r="D235" s="18"/>
      <x:c r="E235" s="14" t="str">
        <x:v>demonstration</x:v>
      </x:c>
      <x:c r="F235" s="15" t="n">
        <x:v>46098</x:v>
      </x:c>
      <x:c r="G235" s="18"/>
      <x:c r="H235" s="16" t="n">
        <x:v>1</x:v>
      </x:c>
      <x:c r="I235" s="14" t="str">
        <x:v>저희 본가는 전통적으로 모든 전자제품은 삼성전자임 근데 이번에 LG전자 제품을 경험 해보고 싶어서 식세기를 샀음 근데 LG전자 하는거 보면 뭔가 나사하나 빠진 듯
일단 이 제품은 빌트인 제품임 기존에 삼성 식세기 사용하다가 이번에 교체 했는데 걸레받이가 없어서 설치를 해야하는 상황임
삼성전자의 경우 식세기 설치 전 걸레받이 등 식세기 설치가 가능한지 확인하고 다음 설치 프로세스를 진행하는데
LG전자는.. 그냥 식세기 설치하고 그냥 가버림 ㅋㅋ
적어도 설치 후 걸레받이가 없으니 LG전자 리폼 관련 회사가 있으니 연락해서 설치하세요 라고 할텐데
설치 직원한테 걸레받이 어떻게 하냐고 협력 업체 있지 않냐고 물어보니 모른다고 답변(홈페이지 보면 협력업체 있음)
본인 집에 식세기 그딴식으로 설치하고 응대할건가? 진짜 사용자 경험 개후짐 LG전자 제품이 아무리 좋아도 저런 사용자 경험 때문에 기피할 듯</x:v>
      </x:c>
      <x:c r="J235" s="14" t="str">
        <x:v>https://www.lge.co.kr/mkt/review/MD10492836/pdpReviewListPopup</x:v>
      </x:c>
      <x:c r="K235" s="14" t="str">
        <x:v>#divReviewList &gt; li[data-review-id="669584"] .message</x:v>
      </x:c>
      <x:c r="L235" s="14" t="str">
        <x:v>MFL71959117 Rev.07_030626</x:v>
      </x:c>
      <x:c r="M235" s="14" t="str">
        <x:v>317c02297113f54ddb0c7cc1e9b95df1119cb6ba3c8059fc5f32faaccf998d3c</x:v>
      </x:c>
      <x:c r="N235" s="17" t="b">
        <x:v>0</x:v>
      </x:c>
      <x:c r="O235" s="14" t="str">
        <x:v>LGE-R5-V2-BODYGROUP-669584</x:v>
      </x:c>
      <x:c r="P235" s="14" t="n">
        <x:v>46302.07530359954</x:v>
      </x:c>
      <x:c r="Q235" s="14" t="str"/>
      <x:c r="R235" s="17" t="b">
        <x:v>0</x:v>
      </x:c>
      <x:c r="S235" s="14" t="str">
        <x:v>balanced-pilot-v2</x:v>
      </x:c>
    </x:row>
    <x:row r="236" ht="48" customHeight="1">
      <x:c r="A236" s="14" t="str">
        <x:v>645400</x:v>
      </x:c>
      <x:c r="B236" s="14" t="str">
        <x:v>dishwasher</x:v>
      </x:c>
      <x:c r="C236" s="14" t="str">
        <x:v>DUE6BGL2E</x:v>
      </x:c>
      <x:c r="D236" s="18"/>
      <x:c r="E236" s="14" t="str">
        <x:v>development</x:v>
      </x:c>
      <x:c r="F236" s="15" t="n">
        <x:v>46074</x:v>
      </x:c>
      <x:c r="G236" s="18"/>
      <x:c r="H236" s="16" t="n">
        <x:v>1</x:v>
      </x:c>
      <x:c r="I236" s="14" t="str">
        <x:v>설지일 전날 저녁 일방적 연기 요구. 설치할 위치에대해 사전 헙의나 설명없고 기사가 설치하기 싫은것 같아 반송함.</x:v>
      </x:c>
      <x:c r="J236" s="14" t="str">
        <x:v>https://www.lge.co.kr/mkt/review/MD10492836/pdpReviewListPopup</x:v>
      </x:c>
      <x:c r="K236" s="14" t="str">
        <x:v>#divReviewList &gt; li[data-review-id="645400"] .message</x:v>
      </x:c>
      <x:c r="L236" s="14" t="str">
        <x:v>MFL71959117 Rev.07_030626</x:v>
      </x:c>
      <x:c r="M236" s="14" t="str">
        <x:v>eb1547cf996de76f006e1c7d24a4aa0245f0eeb785856d8caf099fba5457e939</x:v>
      </x:c>
      <x:c r="N236" s="17" t="b">
        <x:v>0</x:v>
      </x:c>
      <x:c r="O236" s="14" t="str">
        <x:v>LGE-R5-V2-BODYGROUP-645400</x:v>
      </x:c>
      <x:c r="P236" s="14" t="n">
        <x:v>46302.07530359954</x:v>
      </x:c>
      <x:c r="Q236" s="14" t="str"/>
      <x:c r="R236" s="17" t="b">
        <x:v>0</x:v>
      </x:c>
      <x:c r="S236" s="14" t="str">
        <x:v>balanced-pilot-v2</x:v>
      </x:c>
    </x:row>
    <x:row r="237" ht="375" customHeight="1">
      <x:c r="A237" s="14" t="str">
        <x:v>457803</x:v>
      </x:c>
      <x:c r="B237" s="14" t="str">
        <x:v>dishwasher</x:v>
      </x:c>
      <x:c r="C237" s="14" t="str">
        <x:v>DUE6BGL2E</x:v>
      </x:c>
      <x:c r="D237" s="18"/>
      <x:c r="E237" s="14" t="str">
        <x:v>quarantine</x:v>
      </x:c>
      <x:c r="F237" s="15" t="n">
        <x:v>45891</x:v>
      </x:c>
      <x:c r="G237" s="18"/>
      <x:c r="H237" s="16" t="n">
        <x:v>1</x:v>
      </x:c>
      <x:c r="I237" s="14" t="str">
        <x:v>LG 협력업체 [업체명 생략]([연락처 생략])에서 식기세척기 하부장 제작을 진행 하였습니다.
[업체명 생략]은 본인의 과실을 인정하지 않고 이정도의 규격이 발생 할 수 있다고 하여 [업체명 생략]에게 사진을 보냈는데 잘못된 부분을 모르겠다는 등 시공팀에 전달했으니 끝났다는 식으로 말하여
정말 화가 나고 우리집 주방을 망쳐서 분통이 터지는데 정작 LG에서는 업체에 위 내용 전달만 하고 해결이 안되고 있는 상황입니다.
처음 식세기 하부장 유명 시공업체를 알아보고 진행하려고 하다 LG에서 협력업체이고 전문 특수시공업체라며 다른 업체보다 더 안전하게 진행될 수 있다는 말을 믿어
알아본 시공업체보다 비용이 10~15만원 이상 비쌌지만 LG말만 믿다가 이렇게 큰 피해를 입고 다시는 이런 피해자가 없었으면 하는 바람으로 후기를 남김니다.
평소 가전제품은 LG가 좋다고 생각했다가 형편 없는 서비스에 뒷통수를 맞고 LG, [업체명 생략] 모두 서로이게 책임을 떠넘기고 고객이 전적으로 큰 피해를 입고 있는 상황을 겪으면서 운이 없으면 누구든지 당할 수 있겠다고 생각이 들었습니다.
처음 하부장 제작시 실측만 제대로 되었다면 이런 불상사가 발생하지 않았을 거고 하부장 시공 시 고난이도의 작업이라며 현장에서 5만원이 추가되어 34만원에 작업한 결과물이 사진과 같이 말도 안되고 어이가 없습니다.
LG에서 권장하는 전문적인 특수시공업체에서 한 결과 주방이 망쳐버린 것에 대해 원상복구를 해주시고 LG에서는 책임지고 신속히 해결해주시기 바랍니다.
위 업체에서는 다시는 진행하지 않을 예정 입니다.</x:v>
      </x:c>
      <x:c r="J237" s="14" t="str">
        <x:v>https://www.lge.co.kr/mkt/review/MD10492836/pdpReviewListPopup</x:v>
      </x:c>
      <x:c r="K237" s="14" t="str">
        <x:v>#divReviewList &gt; li[data-review-id="457803"] .message</x:v>
      </x:c>
      <x:c r="L237" s="14" t="str">
        <x:v>MFL71959117 Rev.07_030626</x:v>
      </x:c>
      <x:c r="M237" s="14" t="str">
        <x:v>0337c4fba77eb508d5f0b014552278196919c26000a6d68a84dcc1191bc3f01f</x:v>
      </x:c>
      <x:c r="N237" s="17" t="b">
        <x:v>0</x:v>
      </x:c>
      <x:c r="O237" s="14" t="str">
        <x:v>LGE-R5-V2-BODYGROUP-457803</x:v>
      </x:c>
      <x:c r="P237" s="14" t="n">
        <x:v>46302.07530359954</x:v>
      </x:c>
      <x:c r="Q237" s="14" t="str">
        <x:v>contact_or_vendor_redacted</x:v>
      </x:c>
      <x:c r="R237" s="17" t="b">
        <x:v>0</x:v>
      </x:c>
      <x:c r="S237" s="14" t="str">
        <x:v>balanced-pilot-v2</x:v>
      </x:c>
    </x:row>
    <x:row r="238" ht="189" customHeight="1">
      <x:c r="A238" s="14" t="str">
        <x:v>440531</x:v>
      </x:c>
      <x:c r="B238" s="14" t="str">
        <x:v>dishwasher</x:v>
      </x:c>
      <x:c r="C238" s="14" t="str">
        <x:v>DUE6BGL2E</x:v>
      </x:c>
      <x:c r="D238" s="18"/>
      <x:c r="E238" s="14" t="str">
        <x:v>development</x:v>
      </x:c>
      <x:c r="F238" s="15" t="n">
        <x:v>45877</x:v>
      </x:c>
      <x:c r="G238" s="18"/>
      <x:c r="H238" s="16" t="n">
        <x:v>1</x:v>
      </x:c>
      <x:c r="I238" s="14" t="str">
        <x:v>사용한지 약 2주 지나는 동안 건조가 제대로 된 적이 한 번도 없습니다.
서비스 출장와서 열풍건조가 원래 드라이기 약풍-중풍 정도의 바람이 나온다고 하면서 정상가동이 되는 거라고 하네요. 추가 열풍건조해도 물이 안 마르는데…
이 사진들이 모두 일반코스 (3시간 54분)로 작동시킨건데 이런게 정상이라고 설명합니다.
엘지에서 전력사용량을 줄이려고 열풍이 제외된 일반코스는 열풍온도를 낮춰서 설계했다는데 말도 안되는 것 같습니다.
새로 식기세척기 구매했는데 고장난 물건을 받은 기분입니다.
이런 상태를 보고 제품교체나 부품교체를 못해준다는게 이해가 안되네요.</x:v>
      </x:c>
      <x:c r="J238" s="14" t="str">
        <x:v>https://www.lge.co.kr/mkt/review/MD10492836/pdpReviewListPopup</x:v>
      </x:c>
      <x:c r="K238" s="14" t="str">
        <x:v>#divReviewList &gt; li[data-review-id="440531"] .message</x:v>
      </x:c>
      <x:c r="L238" s="14" t="str">
        <x:v>MFL71959117 Rev.07_030626</x:v>
      </x:c>
      <x:c r="M238" s="14" t="str">
        <x:v>4a3949057b0aedb4d50e506416d0e377f9c127f966665bb5442a4ad5c87a654e</x:v>
      </x:c>
      <x:c r="N238" s="17" t="b">
        <x:v>0</x:v>
      </x:c>
      <x:c r="O238" s="14" t="str">
        <x:v>LGE-R5-V2-BODYGROUP-440531</x:v>
      </x:c>
      <x:c r="P238" s="14" t="n">
        <x:v>46302.07530359954</x:v>
      </x:c>
      <x:c r="Q238" s="14" t="str"/>
      <x:c r="R238" s="17" t="b">
        <x:v>0</x:v>
      </x:c>
      <x:c r="S238" s="14" t="str">
        <x:v>balanced-pilot-v2</x:v>
      </x:c>
    </x:row>
    <x:row r="239" ht="84" customHeight="1">
      <x:c r="A239" s="14" t="str">
        <x:v>503624</x:v>
      </x:c>
      <x:c r="B239" s="14" t="str">
        <x:v>dishwasher</x:v>
      </x:c>
      <x:c r="C239" s="14" t="str">
        <x:v>DUE6BGL2E</x:v>
      </x:c>
      <x:c r="D239" s="18"/>
      <x:c r="E239" s="14" t="str">
        <x:v>development</x:v>
      </x:c>
      <x:c r="F239" s="15" t="n">
        <x:v>45936</x:v>
      </x:c>
      <x:c r="G239" s="18"/>
      <x:c r="H239" s="16" t="n">
        <x:v>2</x:v>
      </x:c>
      <x:c r="I239" s="14" t="str">
        <x:v>기존에 LG식기세척기를 구매했을때 설치시 린스, 경도 테스트, 소금을 넣어주시고, 서비스가 좋아서 이번에도 LG 식기세척기를 구매했는데, 설치하고, 사용 설명만 해 주고 가셔서, 린스, 소금 램프에 불이 들어와서 제가 해결은 했지만, 경도 테스트는 설치 시 한번은 해 줘야하는게 아닌지 의문이네요.
식기세척기 설치 후 바로 사용이 가능하도록 세팅은 해 줘야지 개인이 필요한 물품을 따로 구매해서 점검하고,세팅을 해야하는 것이 맞나요?</x:v>
      </x:c>
      <x:c r="J239" s="14" t="str">
        <x:v>https://www.lge.co.kr/mkt/review/MD10492836/pdpReviewListPopup</x:v>
      </x:c>
      <x:c r="K239" s="14" t="str">
        <x:v>#divReviewList &gt; li[data-review-id="503624"] .message</x:v>
      </x:c>
      <x:c r="L239" s="14" t="str">
        <x:v>MFL71959117 Rev.07_030626</x:v>
      </x:c>
      <x:c r="M239" s="14" t="str">
        <x:v>79da8cc53da2b2c3e76833d97371a73eb599a5f538561f7a31e0e5de0fd6639d</x:v>
      </x:c>
      <x:c r="N239" s="17" t="b">
        <x:v>0</x:v>
      </x:c>
      <x:c r="O239" s="14" t="str">
        <x:v>LGE-R5-V2-BODYGROUP-503624</x:v>
      </x:c>
      <x:c r="P239" s="14" t="n">
        <x:v>46302.07530359954</x:v>
      </x:c>
      <x:c r="Q239" s="14" t="str"/>
      <x:c r="R239" s="17" t="b">
        <x:v>0</x:v>
      </x:c>
      <x:c r="S239" s="14" t="str">
        <x:v>balanced-pilot-v2</x:v>
      </x:c>
    </x:row>
    <x:row r="240" ht="48" customHeight="1">
      <x:c r="A240" s="14" t="str">
        <x:v>773516</x:v>
      </x:c>
      <x:c r="B240" s="14" t="str">
        <x:v>dishwasher</x:v>
      </x:c>
      <x:c r="C240" s="14" t="str">
        <x:v>DUE6BGL2E</x:v>
      </x:c>
      <x:c r="D240" s="18"/>
      <x:c r="E240" s="14" t="str">
        <x:v>development</x:v>
      </x:c>
      <x:c r="F240" s="15" t="n">
        <x:v>46204</x:v>
      </x:c>
      <x:c r="G240" s="18"/>
      <x:c r="H240" s="16" t="n">
        <x:v>3</x:v>
      </x:c>
      <x:c r="I240" s="14" t="str">
        <x:v>그릇 배치가 아직까지는 조금 낯설었지만, 바스켓 구조에 익숙해지니 생각보다 많이 들어가더라고요. 세척 후 건조까지 깔끔해서 만족합니다.</x:v>
      </x:c>
      <x:c r="J240" s="14" t="str">
        <x:v>https://www.lge.co.kr/mkt/review/MD10492836/pdpReviewListPopup</x:v>
      </x:c>
      <x:c r="K240" s="14" t="str">
        <x:v>#divReviewList &gt; li[data-review-id="773516"] .message</x:v>
      </x:c>
      <x:c r="L240" s="14" t="str">
        <x:v>MFL71959117 Rev.07_030626</x:v>
      </x:c>
      <x:c r="M240" s="14" t="str">
        <x:v>a748bde1e26339683532925bf3bcd5d9acfc96c0554a3859b63a2c939ac7bafe</x:v>
      </x:c>
      <x:c r="N240" s="17" t="b">
        <x:v>0</x:v>
      </x:c>
      <x:c r="O240" s="14" t="str">
        <x:v>LGE-R5-V2-BODYGROUP-773516</x:v>
      </x:c>
      <x:c r="P240" s="14" t="n">
        <x:v>46302.07530359954</x:v>
      </x:c>
      <x:c r="Q240" s="14" t="str"/>
      <x:c r="R240" s="17" t="b">
        <x:v>0</x:v>
      </x:c>
      <x:c r="S240" s="14" t="str">
        <x:v>balanced-pilot-v2</x:v>
      </x:c>
    </x:row>
    <x:row r="241" ht="84" customHeight="1">
      <x:c r="A241" s="14" t="str">
        <x:v>726743</x:v>
      </x:c>
      <x:c r="B241" s="14" t="str">
        <x:v>dishwasher</x:v>
      </x:c>
      <x:c r="C241" s="14" t="str">
        <x:v>DUE6BGL2E</x:v>
      </x:c>
      <x:c r="D241" s="18"/>
      <x:c r="E241" s="14" t="str">
        <x:v>development</x:v>
      </x:c>
      <x:c r="F241" s="15" t="n">
        <x:v>46159</x:v>
      </x:c>
      <x:c r="G241" s="18"/>
      <x:c r="H241" s="16" t="n">
        <x:v>3</x:v>
      </x:c>
      <x:c r="I241" s="14" t="str">
        <x:v>크림색상 씽크대와 어울리지 않습니다
화이트로 할 걸 ......
색 자체가 진짜 별로에요
성능은 크게 좋고 나쁘고 그런건 없는것 같아요
기계의 장단점이 있으니까요</x:v>
      </x:c>
      <x:c r="J241" s="14" t="str">
        <x:v>https://www.lge.co.kr/mkt/review/MD10492836/pdpReviewListPopup</x:v>
      </x:c>
      <x:c r="K241" s="14" t="str">
        <x:v>#divReviewList &gt; li[data-review-id="726743"] .message</x:v>
      </x:c>
      <x:c r="L241" s="14" t="str">
        <x:v>MFL71959117 Rev.07_030626</x:v>
      </x:c>
      <x:c r="M241" s="14" t="str">
        <x:v>7c9067ed06156de620291710e6c5d6ae460c459e032d7234b0583054e7105b4c</x:v>
      </x:c>
      <x:c r="N241" s="17" t="b">
        <x:v>0</x:v>
      </x:c>
      <x:c r="O241" s="14" t="str">
        <x:v>LGE-R5-V2-BODYGROUP-726743</x:v>
      </x:c>
      <x:c r="P241" s="14" t="n">
        <x:v>46302.07530359954</x:v>
      </x:c>
      <x:c r="Q241" s="14" t="str"/>
      <x:c r="R241" s="17" t="b">
        <x:v>0</x:v>
      </x:c>
      <x:c r="S241" s="14" t="str">
        <x:v>balanced-pilot-v2</x:v>
      </x:c>
    </x:row>
    <x:row r="242" ht="99" customHeight="1">
      <x:c r="A242" s="14" t="str">
        <x:v>658396</x:v>
      </x:c>
      <x:c r="B242" s="14" t="str">
        <x:v>dishwasher</x:v>
      </x:c>
      <x:c r="C242" s="14" t="str">
        <x:v>DUE6BGL2E</x:v>
      </x:c>
      <x:c r="D242" s="18"/>
      <x:c r="E242" s="14" t="str">
        <x:v>independent_evaluation</x:v>
      </x:c>
      <x:c r="F242" s="15" t="n">
        <x:v>46086</x:v>
      </x:c>
      <x:c r="G242" s="18"/>
      <x:c r="H242" s="16" t="n">
        <x:v>3</x:v>
      </x:c>
      <x:c r="I242" s="14" t="str">
        <x:v>Sk 6인용 쓰다가 넘어 왔는데 다 만족하지만 크기라단지 빌트인이라던지 근데 일단 식기가 완벽하게 마르지 않음
문열렸다가 닫힘도 안되고 용량이 커서 안되는 지는 모르겠지만 이전에 되던게 이제 안되니까 매우 불편합니다.
중간에 더 화가 난건 구매하고 다음날 행사를하여 취소하고 다시 구매 하여야 했고 할인 10만원 쿠폰이 사라짐 이거좀 안타깝게 생각함.</x:v>
      </x:c>
      <x:c r="J242" s="14" t="str">
        <x:v>https://www.lge.co.kr/mkt/review/MD10492836/pdpReviewListPopup</x:v>
      </x:c>
      <x:c r="K242" s="14" t="str">
        <x:v>#divReviewList &gt; li[data-review-id="658396"] .message</x:v>
      </x:c>
      <x:c r="L242" s="14" t="str">
        <x:v>MFL71959117 Rev.07_030626</x:v>
      </x:c>
      <x:c r="M242" s="14" t="str">
        <x:v>f0462e1df538e093a7e6cca0f8211ec556c05803e5cf6e89872f98c92280ceaf</x:v>
      </x:c>
      <x:c r="N242" s="17" t="b">
        <x:v>0</x:v>
      </x:c>
      <x:c r="O242" s="14" t="str">
        <x:v>LGE-R5-V2-BODYGROUP-658396</x:v>
      </x:c>
      <x:c r="P242" s="14" t="n">
        <x:v>46302.07530359954</x:v>
      </x:c>
      <x:c r="Q242" s="14" t="str"/>
      <x:c r="R242" s="17" t="b">
        <x:v>0</x:v>
      </x:c>
      <x:c r="S242" s="14" t="str">
        <x:v>balanced-pilot-v2</x:v>
      </x:c>
    </x:row>
  </x:sheetData>
  <x:pageMargins left="0.7" right="0.7" top="0.75" bottom="0.75" header="0.3" footer="0.3"/>
  <x:tableParts count="1">
    <x:tablePart xmlns:r="http://schemas.openxmlformats.org/officeDocument/2006/relationships" r:id="Re96916e7b4324556"/>
  </x:tableParts>
</x:worksheet>
</file>

<file path=xl/worksheets/sheet3.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25" hidden="0" customWidth="1"/>
    <x:col min="2" max="2" width="16.25" hidden="0" customWidth="1"/>
    <x:col min="3" max="3" width="17.5" hidden="0" customWidth="1"/>
    <x:col min="4" max="4" width="23.75" hidden="0" customWidth="1"/>
    <x:col min="5" max="5" width="20" hidden="0" customWidth="1"/>
    <x:col min="6" max="6" width="22.5" hidden="0" customWidth="1"/>
    <x:col min="7" max="7" width="45" hidden="0" customWidth="1"/>
    <x:col min="8" max="8" width="42.5" hidden="0" customWidth="1"/>
  </x:cols>
  <x:sheetData>
    <x:row r="1">
      <x:c r="A1" s="2" t="str">
        <x:v>원 관측 기록</x:v>
      </x:c>
      <x:c r="B1" s="1"/>
      <x:c r="C1" s="1"/>
      <x:c r="D1" s="1"/>
      <x:c r="E1" s="1"/>
      <x:c r="F1" s="1"/>
      <x:c r="G1" s="1"/>
      <x:c r="H1" s="1"/>
    </x:row>
    <x:row r="2" ht="57" customHeight="1">
      <x:c r="A2" s="4" t="str">
        <x:v>179개 원 관측과 추가 표본 60개를 보존한다. 후기 ID 860977의 추가 관측 1개는 고유 후기 수에서 제외한다.</x:v>
      </x:c>
      <x:c r="B2" s="1"/>
      <x:c r="C2" s="1"/>
      <x:c r="D2" s="1"/>
      <x:c r="E2" s="1"/>
      <x:c r="F2" s="1"/>
      <x:c r="G2" s="1"/>
      <x:c r="H2" s="1"/>
    </x:row>
    <x:row r="3">
      <x:c r="A3" s="1"/>
      <x:c r="B3" s="1"/>
      <x:c r="C3" s="1"/>
      <x:c r="D3" s="1"/>
      <x:c r="E3" s="1"/>
      <x:c r="F3" s="1"/>
      <x:c r="G3" s="1"/>
      <x:c r="H3" s="1"/>
    </x:row>
    <x:row r="4" ht="34.5" customHeight="1">
      <x:c r="A4" s="7" t="str">
        <x:v>원자료</x:v>
      </x:c>
      <x:c r="B4" s="7" t="str">
        <x:v>JSON 행(0부터)</x:v>
      </x:c>
      <x:c r="C4" s="7" t="str">
        <x:v>후기 ID</x:v>
      </x:c>
      <x:c r="D4" s="7" t="str">
        <x:v>기존 분할</x:v>
      </x:c>
      <x:c r="E4" s="7" t="str">
        <x:v>추가 중복 관측</x:v>
      </x:c>
      <x:c r="F4" s="7" t="str">
        <x:v>정렬</x:v>
      </x:c>
      <x:c r="G4" s="7" t="str">
        <x:v>본문 SHA256</x:v>
      </x:c>
      <x:c r="H4" s="7" t="str">
        <x:v>출처 URL</x:v>
      </x:c>
    </x:row>
    <x:row r="5" ht="39" customHeight="1">
      <x:c r="A5" s="3" t="str">
        <x:v>fixed18</x:v>
      </x:c>
      <x:c r="B5" s="3" t="n">
        <x:v>0</x:v>
      </x:c>
      <x:c r="C5" s="3" t="str">
        <x:v>848850</x:v>
      </x:c>
      <x:c r="D5" s="3" t="str">
        <x:v>development</x:v>
      </x:c>
      <x:c r="E5" s="13" t="b">
        <x:v>0</x:v>
      </x:c>
      <x:c r="F5" s="3" t="str">
        <x:v>recommendation</x:v>
      </x:c>
      <x:c r="G5" s="3" t="str">
        <x:v>f7c96d4b8243c18ce33b6b3f4bf6a030b7c3004d3c75facf1d38df8f66853d0a</x:v>
      </x:c>
      <x:c r="H5" s="3" t="str">
        <x:v>https://www.lge.co.kr/mkt/review/MD10758826/pdpReviewListPopup</x:v>
      </x:c>
    </x:row>
    <x:row r="6" ht="39" customHeight="1">
      <x:c r="A6" s="3" t="str">
        <x:v>fixed18</x:v>
      </x:c>
      <x:c r="B6" s="3" t="n">
        <x:v>1</x:v>
      </x:c>
      <x:c r="C6" s="3" t="str">
        <x:v>837828</x:v>
      </x:c>
      <x:c r="D6" s="3" t="str">
        <x:v>development</x:v>
      </x:c>
      <x:c r="E6" s="13" t="b">
        <x:v>0</x:v>
      </x:c>
      <x:c r="F6" s="3" t="str">
        <x:v>recommendation</x:v>
      </x:c>
      <x:c r="G6" s="3" t="str">
        <x:v>fe0404a56f3da84dfc993714fd1ae925ebd1e305f897f0ef7b6c884f8a08586a</x:v>
      </x:c>
      <x:c r="H6" s="3" t="str">
        <x:v>https://www.lge.co.kr/mkt/review/MD10758826/pdpReviewListPopup</x:v>
      </x:c>
    </x:row>
    <x:row r="7" ht="39" customHeight="1">
      <x:c r="A7" s="3" t="str">
        <x:v>fixed18</x:v>
      </x:c>
      <x:c r="B7" s="3" t="n">
        <x:v>2</x:v>
      </x:c>
      <x:c r="C7" s="3" t="str">
        <x:v>833709</x:v>
      </x:c>
      <x:c r="D7" s="3" t="str">
        <x:v>independent_evaluation</x:v>
      </x:c>
      <x:c r="E7" s="13" t="b">
        <x:v>0</x:v>
      </x:c>
      <x:c r="F7" s="3" t="str">
        <x:v>recommendation</x:v>
      </x:c>
      <x:c r="G7" s="3" t="str">
        <x:v>7a23a945c9985ba5e95355d021b35b390ed4c530c283dc8faf4b03438bcd779b</x:v>
      </x:c>
      <x:c r="H7" s="3" t="str">
        <x:v>https://www.lge.co.kr/mkt/review/MD10758826/pdpReviewListPopup</x:v>
      </x:c>
    </x:row>
    <x:row r="8" ht="39" customHeight="1">
      <x:c r="A8" s="3" t="str">
        <x:v>fixed18</x:v>
      </x:c>
      <x:c r="B8" s="3" t="n">
        <x:v>3</x:v>
      </x:c>
      <x:c r="C8" s="3" t="str">
        <x:v>808291</x:v>
      </x:c>
      <x:c r="D8" s="3" t="str">
        <x:v>demonstration</x:v>
      </x:c>
      <x:c r="E8" s="13" t="b">
        <x:v>0</x:v>
      </x:c>
      <x:c r="F8" s="3" t="str">
        <x:v>recommendation</x:v>
      </x:c>
      <x:c r="G8" s="3" t="str">
        <x:v>1f413c8d35006eaf83a39822fe5a0e7ccb06b84c5e562a7b8e94e97865d96bfd</x:v>
      </x:c>
      <x:c r="H8" s="3" t="str">
        <x:v>https://www.lge.co.kr/mkt/review/MD10758826/pdpReviewListPopup</x:v>
      </x:c>
    </x:row>
    <x:row r="9" ht="39" customHeight="1">
      <x:c r="A9" s="3" t="str">
        <x:v>fixed18</x:v>
      </x:c>
      <x:c r="B9" s="3" t="n">
        <x:v>4</x:v>
      </x:c>
      <x:c r="C9" s="3" t="str">
        <x:v>797272</x:v>
      </x:c>
      <x:c r="D9" s="3" t="str">
        <x:v>independent_evaluation</x:v>
      </x:c>
      <x:c r="E9" s="13" t="b">
        <x:v>0</x:v>
      </x:c>
      <x:c r="F9" s="3" t="str">
        <x:v>recommendation</x:v>
      </x:c>
      <x:c r="G9" s="3" t="str">
        <x:v>d6f10f43fecd4834ede0ed402d5e93fd96f113e32547716bf2980562b3e2f44d</x:v>
      </x:c>
      <x:c r="H9" s="3" t="str">
        <x:v>https://www.lge.co.kr/mkt/review/MD10758826/pdpReviewListPopup</x:v>
      </x:c>
    </x:row>
    <x:row r="10" ht="39" customHeight="1">
      <x:c r="A10" s="3" t="str">
        <x:v>fixed18</x:v>
      </x:c>
      <x:c r="B10" s="3" t="n">
        <x:v>5</x:v>
      </x:c>
      <x:c r="C10" s="3" t="str">
        <x:v>796211</x:v>
      </x:c>
      <x:c r="D10" s="3" t="str">
        <x:v>development</x:v>
      </x:c>
      <x:c r="E10" s="13" t="b">
        <x:v>0</x:v>
      </x:c>
      <x:c r="F10" s="3" t="str">
        <x:v>recommendation</x:v>
      </x:c>
      <x:c r="G10" s="3" t="str">
        <x:v>49c74e72448475b7c6807571f44a4b881f7a1c2c7c4fbdbbbb16af6f2512c8a4</x:v>
      </x:c>
      <x:c r="H10" s="3" t="str">
        <x:v>https://www.lge.co.kr/mkt/review/MD10758826/pdpReviewListPopup</x:v>
      </x:c>
    </x:row>
    <x:row r="11" ht="39" customHeight="1">
      <x:c r="A11" s="3" t="str">
        <x:v>fixed18</x:v>
      </x:c>
      <x:c r="B11" s="3" t="n">
        <x:v>6</x:v>
      </x:c>
      <x:c r="C11" s="3" t="str">
        <x:v>786986</x:v>
      </x:c>
      <x:c r="D11" s="3" t="str">
        <x:v>demonstration</x:v>
      </x:c>
      <x:c r="E11" s="13" t="b">
        <x:v>0</x:v>
      </x:c>
      <x:c r="F11" s="3" t="str">
        <x:v>recommendation</x:v>
      </x:c>
      <x:c r="G11" s="3" t="str">
        <x:v>8918edb9d63d276c6d41a58a8e68c7f5fd37aa374b7a141c6d099a22d3fc916c</x:v>
      </x:c>
      <x:c r="H11" s="3" t="str">
        <x:v>https://www.lge.co.kr/mkt/review/MD10758826/pdpReviewListPopup</x:v>
      </x:c>
    </x:row>
    <x:row r="12" ht="39" customHeight="1">
      <x:c r="A12" s="3" t="str">
        <x:v>fixed18</x:v>
      </x:c>
      <x:c r="B12" s="3" t="n">
        <x:v>7</x:v>
      </x:c>
      <x:c r="C12" s="3" t="str">
        <x:v>771888</x:v>
      </x:c>
      <x:c r="D12" s="3" t="str">
        <x:v>development</x:v>
      </x:c>
      <x:c r="E12" s="13" t="b">
        <x:v>0</x:v>
      </x:c>
      <x:c r="F12" s="3" t="str">
        <x:v>recommendation</x:v>
      </x:c>
      <x:c r="G12" s="3" t="str">
        <x:v>138823463bab32ce282c3df9e33f8f569661ee5c44c5dcf91fae31e37e1d4a97</x:v>
      </x:c>
      <x:c r="H12" s="3" t="str">
        <x:v>https://www.lge.co.kr/mkt/review/MD10758826/pdpReviewListPopup</x:v>
      </x:c>
    </x:row>
    <x:row r="13" ht="39" customHeight="1">
      <x:c r="A13" s="3" t="str">
        <x:v>fixed18</x:v>
      </x:c>
      <x:c r="B13" s="3" t="n">
        <x:v>8</x:v>
      </x:c>
      <x:c r="C13" s="3" t="str">
        <x:v>770195</x:v>
      </x:c>
      <x:c r="D13" s="3" t="str">
        <x:v>development</x:v>
      </x:c>
      <x:c r="E13" s="13" t="b">
        <x:v>0</x:v>
      </x:c>
      <x:c r="F13" s="3" t="str">
        <x:v>recommendation</x:v>
      </x:c>
      <x:c r="G13" s="3" t="str">
        <x:v>95fc621bd0cfa75868cc516f7962ab4b9bba4e0a2d028174f2b4699181d2a989</x:v>
      </x:c>
      <x:c r="H13" s="3" t="str">
        <x:v>https://www.lge.co.kr/mkt/review/MD10758826/pdpReviewListPopup</x:v>
      </x:c>
    </x:row>
    <x:row r="14" ht="39" customHeight="1">
      <x:c r="A14" s="3" t="str">
        <x:v>fixed18</x:v>
      </x:c>
      <x:c r="B14" s="3" t="n">
        <x:v>9</x:v>
      </x:c>
      <x:c r="C14" s="3" t="str">
        <x:v>766814</x:v>
      </x:c>
      <x:c r="D14" s="3" t="str">
        <x:v>development</x:v>
      </x:c>
      <x:c r="E14" s="13" t="b">
        <x:v>0</x:v>
      </x:c>
      <x:c r="F14" s="3" t="str">
        <x:v>recommendation</x:v>
      </x:c>
      <x:c r="G14" s="3" t="str">
        <x:v>4b1e47b827db048d1e5b7e7257ff6a2eeb46e10ba7abcef2070dea25dfadbaf8</x:v>
      </x:c>
      <x:c r="H14" s="3" t="str">
        <x:v>https://www.lge.co.kr/mkt/review/MD10758826/pdpReviewListPopup</x:v>
      </x:c>
    </x:row>
    <x:row r="15" ht="39" customHeight="1">
      <x:c r="A15" s="3" t="str">
        <x:v>fixed18</x:v>
      </x:c>
      <x:c r="B15" s="3" t="n">
        <x:v>10</x:v>
      </x:c>
      <x:c r="C15" s="3" t="str">
        <x:v>856225</x:v>
      </x:c>
      <x:c r="D15" s="3" t="str">
        <x:v>development</x:v>
      </x:c>
      <x:c r="E15" s="13" t="b">
        <x:v>0</x:v>
      </x:c>
      <x:c r="F15" s="3" t="str">
        <x:v>recommendation</x:v>
      </x:c>
      <x:c r="G15" s="3" t="str">
        <x:v>4cea5e4f272eaed0d61fa2130c9ce6a169594575fde5c90ddaf456220e05605b</x:v>
      </x:c>
      <x:c r="H15" s="3" t="str">
        <x:v>https://www.lge.co.kr/mkt/review/MD10635830/pdpReviewListPopup</x:v>
      </x:c>
    </x:row>
    <x:row r="16" ht="39" customHeight="1">
      <x:c r="A16" s="3" t="str">
        <x:v>fixed18</x:v>
      </x:c>
      <x:c r="B16" s="3" t="n">
        <x:v>11</x:v>
      </x:c>
      <x:c r="C16" s="3" t="str">
        <x:v>831288</x:v>
      </x:c>
      <x:c r="D16" s="3" t="str">
        <x:v>independent_evaluation</x:v>
      </x:c>
      <x:c r="E16" s="13" t="b">
        <x:v>0</x:v>
      </x:c>
      <x:c r="F16" s="3" t="str">
        <x:v>recommendation</x:v>
      </x:c>
      <x:c r="G16" s="3" t="str">
        <x:v>2ac992c7ccb7c253c3e4977ec8bebe9738d5b2d878cc0c9d27a9b483c860a669</x:v>
      </x:c>
      <x:c r="H16" s="3" t="str">
        <x:v>https://www.lge.co.kr/mkt/review/MD10635830/pdpReviewListPopup</x:v>
      </x:c>
    </x:row>
    <x:row r="17" ht="39" customHeight="1">
      <x:c r="A17" s="3" t="str">
        <x:v>fixed18</x:v>
      </x:c>
      <x:c r="B17" s="3" t="n">
        <x:v>12</x:v>
      </x:c>
      <x:c r="C17" s="3" t="str">
        <x:v>799863</x:v>
      </x:c>
      <x:c r="D17" s="3" t="str">
        <x:v>demonstration</x:v>
      </x:c>
      <x:c r="E17" s="13" t="b">
        <x:v>0</x:v>
      </x:c>
      <x:c r="F17" s="3" t="str">
        <x:v>recommendation</x:v>
      </x:c>
      <x:c r="G17" s="3" t="str">
        <x:v>15ecf6ce31ce53b43e65bb97ec33b94b91b93e972b6c5b3831f791334a04fd06</x:v>
      </x:c>
      <x:c r="H17" s="3" t="str">
        <x:v>https://www.lge.co.kr/mkt/review/MD10635830/pdpReviewListPopup</x:v>
      </x:c>
    </x:row>
    <x:row r="18" ht="39" customHeight="1">
      <x:c r="A18" s="3" t="str">
        <x:v>fixed18</x:v>
      </x:c>
      <x:c r="B18" s="3" t="n">
        <x:v>13</x:v>
      </x:c>
      <x:c r="C18" s="3" t="str">
        <x:v>790101</x:v>
      </x:c>
      <x:c r="D18" s="3" t="str">
        <x:v>independent_evaluation</x:v>
      </x:c>
      <x:c r="E18" s="13" t="b">
        <x:v>0</x:v>
      </x:c>
      <x:c r="F18" s="3" t="str">
        <x:v>recommendation</x:v>
      </x:c>
      <x:c r="G18" s="3" t="str">
        <x:v>55e7bbd1eddefdda9555b81b98ba6101912af6f925147c132839cb491f909c9e</x:v>
      </x:c>
      <x:c r="H18" s="3" t="str">
        <x:v>https://www.lge.co.kr/mkt/review/MD10635830/pdpReviewListPopup</x:v>
      </x:c>
    </x:row>
    <x:row r="19" ht="39" customHeight="1">
      <x:c r="A19" s="3" t="str">
        <x:v>fixed18</x:v>
      </x:c>
      <x:c r="B19" s="3" t="n">
        <x:v>14</x:v>
      </x:c>
      <x:c r="C19" s="3" t="str">
        <x:v>786267</x:v>
      </x:c>
      <x:c r="D19" s="3" t="str">
        <x:v>development</x:v>
      </x:c>
      <x:c r="E19" s="13" t="b">
        <x:v>0</x:v>
      </x:c>
      <x:c r="F19" s="3" t="str">
        <x:v>recommendation</x:v>
      </x:c>
      <x:c r="G19" s="3" t="str">
        <x:v>73dd229d350ce7045000556b2f61da8a6d14afad20cfc2092b2772a6c2faea7f</x:v>
      </x:c>
      <x:c r="H19" s="3" t="str">
        <x:v>https://www.lge.co.kr/mkt/review/MD10635830/pdpReviewListPopup</x:v>
      </x:c>
    </x:row>
    <x:row r="20" ht="39" customHeight="1">
      <x:c r="A20" s="3" t="str">
        <x:v>fixed18</x:v>
      </x:c>
      <x:c r="B20" s="3" t="n">
        <x:v>15</x:v>
      </x:c>
      <x:c r="C20" s="3" t="str">
        <x:v>778409</x:v>
      </x:c>
      <x:c r="D20" s="3" t="str">
        <x:v>demonstration</x:v>
      </x:c>
      <x:c r="E20" s="13" t="b">
        <x:v>0</x:v>
      </x:c>
      <x:c r="F20" s="3" t="str">
        <x:v>recommendation</x:v>
      </x:c>
      <x:c r="G20" s="3" t="str">
        <x:v>c23efc5c2a8e374a6322d96fc71a9b55898799e0f73eec7162cdf253408a745a</x:v>
      </x:c>
      <x:c r="H20" s="3" t="str">
        <x:v>https://www.lge.co.kr/mkt/review/MD10635830/pdpReviewListPopup</x:v>
      </x:c>
    </x:row>
    <x:row r="21" ht="39" customHeight="1">
      <x:c r="A21" s="3" t="str">
        <x:v>fixed18</x:v>
      </x:c>
      <x:c r="B21" s="3" t="n">
        <x:v>16</x:v>
      </x:c>
      <x:c r="C21" s="3" t="str">
        <x:v>773999</x:v>
      </x:c>
      <x:c r="D21" s="3" t="str">
        <x:v>development</x:v>
      </x:c>
      <x:c r="E21" s="13" t="b">
        <x:v>0</x:v>
      </x:c>
      <x:c r="F21" s="3" t="str">
        <x:v>recommendation</x:v>
      </x:c>
      <x:c r="G21" s="3" t="str">
        <x:v>6f58a2e716b91b8775ed6c58fceadef054e411f8eb37c1275ea636df1d4e7c04</x:v>
      </x:c>
      <x:c r="H21" s="3" t="str">
        <x:v>https://www.lge.co.kr/mkt/review/MD10635830/pdpReviewListPopup</x:v>
      </x:c>
    </x:row>
    <x:row r="22" ht="39" customHeight="1">
      <x:c r="A22" s="3" t="str">
        <x:v>fixed18</x:v>
      </x:c>
      <x:c r="B22" s="3" t="n">
        <x:v>17</x:v>
      </x:c>
      <x:c r="C22" s="3" t="str">
        <x:v>727127</x:v>
      </x:c>
      <x:c r="D22" s="3" t="str">
        <x:v>independent_evaluation</x:v>
      </x:c>
      <x:c r="E22" s="13" t="b">
        <x:v>0</x:v>
      </x:c>
      <x:c r="F22" s="3" t="str">
        <x:v>recommendation</x:v>
      </x:c>
      <x:c r="G22" s="3" t="str">
        <x:v>ebaa7c515b41aa80e113ead3cce0de33a4fe4f65cbd49eb86c3a2b21bb61d1b0</x:v>
      </x:c>
      <x:c r="H22" s="3" t="str">
        <x:v>https://www.lge.co.kr/mkt/review/MD10635830/pdpReviewListPopup</x:v>
      </x:c>
    </x:row>
    <x:row r="23" ht="39" customHeight="1">
      <x:c r="A23" s="3" t="str">
        <x:v>fixed18</x:v>
      </x:c>
      <x:c r="B23" s="3" t="n">
        <x:v>18</x:v>
      </x:c>
      <x:c r="C23" s="3" t="str">
        <x:v>713523</x:v>
      </x:c>
      <x:c r="D23" s="3" t="str">
        <x:v>demonstration</x:v>
      </x:c>
      <x:c r="E23" s="13" t="b">
        <x:v>0</x:v>
      </x:c>
      <x:c r="F23" s="3" t="str">
        <x:v>recommendation</x:v>
      </x:c>
      <x:c r="G23" s="3" t="str">
        <x:v>b5ee7ba4284b0ca3d0c972560401396b52256f93d983be0d8c8949f4c49b53f6</x:v>
      </x:c>
      <x:c r="H23" s="3" t="str">
        <x:v>https://www.lge.co.kr/mkt/review/MD10635830/pdpReviewListPopup</x:v>
      </x:c>
    </x:row>
    <x:row r="24" ht="39" customHeight="1">
      <x:c r="A24" s="3" t="str">
        <x:v>fixed18</x:v>
      </x:c>
      <x:c r="B24" s="3" t="n">
        <x:v>19</x:v>
      </x:c>
      <x:c r="C24" s="3" t="str">
        <x:v>652115</x:v>
      </x:c>
      <x:c r="D24" s="3" t="str">
        <x:v>development</x:v>
      </x:c>
      <x:c r="E24" s="13" t="b">
        <x:v>0</x:v>
      </x:c>
      <x:c r="F24" s="3" t="str">
        <x:v>recommendation</x:v>
      </x:c>
      <x:c r="G24" s="3" t="str">
        <x:v>54dd164ab18b2ea0819529ac04dc8f891c50758c9c340c00aead2fd03edc2034</x:v>
      </x:c>
      <x:c r="H24" s="3" t="str">
        <x:v>https://www.lge.co.kr/mkt/review/MD10635830/pdpReviewListPopup</x:v>
      </x:c>
    </x:row>
    <x:row r="25" ht="39" customHeight="1">
      <x:c r="A25" s="3" t="str">
        <x:v>fixed18</x:v>
      </x:c>
      <x:c r="B25" s="3" t="n">
        <x:v>20</x:v>
      </x:c>
      <x:c r="C25" s="3" t="str">
        <x:v>856502</x:v>
      </x:c>
      <x:c r="D25" s="3" t="str">
        <x:v>development</x:v>
      </x:c>
      <x:c r="E25" s="13" t="b">
        <x:v>0</x:v>
      </x:c>
      <x:c r="F25" s="3" t="str">
        <x:v>recommendation</x:v>
      </x:c>
      <x:c r="G25" s="3" t="str">
        <x:v>00b26591f750bbe43edd19684a351006394bc684e4c6b3a63c3590002e24f86c</x:v>
      </x:c>
      <x:c r="H25" s="3" t="str">
        <x:v>https://www.lge.co.kr/mkt/review/MD10559863/pdpReviewListPopup</x:v>
      </x:c>
    </x:row>
    <x:row r="26" ht="39" customHeight="1">
      <x:c r="A26" s="3" t="str">
        <x:v>fixed18</x:v>
      </x:c>
      <x:c r="B26" s="3" t="n">
        <x:v>21</x:v>
      </x:c>
      <x:c r="C26" s="3" t="str">
        <x:v>848013</x:v>
      </x:c>
      <x:c r="D26" s="3" t="str">
        <x:v>development</x:v>
      </x:c>
      <x:c r="E26" s="13" t="b">
        <x:v>0</x:v>
      </x:c>
      <x:c r="F26" s="3" t="str">
        <x:v>recommendation</x:v>
      </x:c>
      <x:c r="G26" s="3" t="str">
        <x:v>4d1f5dc3087161110b9f454644a52ed745d1992611a36ec8c62ff34a7c392292</x:v>
      </x:c>
      <x:c r="H26" s="3" t="str">
        <x:v>https://www.lge.co.kr/mkt/review/MD10559863/pdpReviewListPopup</x:v>
      </x:c>
    </x:row>
    <x:row r="27" ht="39" customHeight="1">
      <x:c r="A27" s="3" t="str">
        <x:v>fixed18</x:v>
      </x:c>
      <x:c r="B27" s="3" t="n">
        <x:v>22</x:v>
      </x:c>
      <x:c r="C27" s="3" t="str">
        <x:v>833390</x:v>
      </x:c>
      <x:c r="D27" s="3" t="str">
        <x:v>development</x:v>
      </x:c>
      <x:c r="E27" s="13" t="b">
        <x:v>0</x:v>
      </x:c>
      <x:c r="F27" s="3" t="str">
        <x:v>recommendation</x:v>
      </x:c>
      <x:c r="G27" s="3" t="str">
        <x:v>dbc2b855dec9ff2c91f938257849a833a1221992dc23c8c10f1369db4d58af59</x:v>
      </x:c>
      <x:c r="H27" s="3" t="str">
        <x:v>https://www.lge.co.kr/mkt/review/MD10559863/pdpReviewListPopup</x:v>
      </x:c>
    </x:row>
    <x:row r="28" ht="39" customHeight="1">
      <x:c r="A28" s="3" t="str">
        <x:v>fixed18</x:v>
      </x:c>
      <x:c r="B28" s="3" t="n">
        <x:v>23</x:v>
      </x:c>
      <x:c r="C28" s="3" t="str">
        <x:v>833078</x:v>
      </x:c>
      <x:c r="D28" s="3" t="str">
        <x:v>independent_evaluation</x:v>
      </x:c>
      <x:c r="E28" s="13" t="b">
        <x:v>0</x:v>
      </x:c>
      <x:c r="F28" s="3" t="str">
        <x:v>recommendation</x:v>
      </x:c>
      <x:c r="G28" s="3" t="str">
        <x:v>c7a7baea1088a72790384d95b507623cfcdfa2abe4fa666c9ca24bfe332465ee</x:v>
      </x:c>
      <x:c r="H28" s="3" t="str">
        <x:v>https://www.lge.co.kr/mkt/review/MD10559863/pdpReviewListPopup</x:v>
      </x:c>
    </x:row>
    <x:row r="29" ht="39" customHeight="1">
      <x:c r="A29" s="3" t="str">
        <x:v>fixed18</x:v>
      </x:c>
      <x:c r="B29" s="3" t="n">
        <x:v>24</x:v>
      </x:c>
      <x:c r="C29" s="3" t="str">
        <x:v>824792</x:v>
      </x:c>
      <x:c r="D29" s="3" t="str">
        <x:v>development</x:v>
      </x:c>
      <x:c r="E29" s="13" t="b">
        <x:v>0</x:v>
      </x:c>
      <x:c r="F29" s="3" t="str">
        <x:v>recommendation</x:v>
      </x:c>
      <x:c r="G29" s="3" t="str">
        <x:v>551df013d4a93e9bb259b4e69eb2a19daee7d8cf83d8a2f407b1744da5f59762</x:v>
      </x:c>
      <x:c r="H29" s="3" t="str">
        <x:v>https://www.lge.co.kr/mkt/review/MD10559863/pdpReviewListPopup</x:v>
      </x:c>
    </x:row>
    <x:row r="30" ht="39" customHeight="1">
      <x:c r="A30" s="3" t="str">
        <x:v>fixed18</x:v>
      </x:c>
      <x:c r="B30" s="3" t="n">
        <x:v>25</x:v>
      </x:c>
      <x:c r="C30" s="3" t="str">
        <x:v>824593</x:v>
      </x:c>
      <x:c r="D30" s="3" t="str">
        <x:v>development</x:v>
      </x:c>
      <x:c r="E30" s="13" t="b">
        <x:v>0</x:v>
      </x:c>
      <x:c r="F30" s="3" t="str">
        <x:v>recommendation</x:v>
      </x:c>
      <x:c r="G30" s="3" t="str">
        <x:v>db3e017d7ab659d1ee1ec87f9f5f3d23ab427f43d462738036834baf61b5a8ba</x:v>
      </x:c>
      <x:c r="H30" s="3" t="str">
        <x:v>https://www.lge.co.kr/mkt/review/MD10559863/pdpReviewListPopup</x:v>
      </x:c>
    </x:row>
    <x:row r="31" ht="39" customHeight="1">
      <x:c r="A31" s="3" t="str">
        <x:v>fixed18</x:v>
      </x:c>
      <x:c r="B31" s="3" t="n">
        <x:v>26</x:v>
      </x:c>
      <x:c r="C31" s="3" t="str">
        <x:v>822471</x:v>
      </x:c>
      <x:c r="D31" s="3" t="str">
        <x:v>development</x:v>
      </x:c>
      <x:c r="E31" s="13" t="b">
        <x:v>0</x:v>
      </x:c>
      <x:c r="F31" s="3" t="str">
        <x:v>recommendation</x:v>
      </x:c>
      <x:c r="G31" s="3" t="str">
        <x:v>37c7849117e5e103aee3f283b43ea7489fc7e2dbd0ee1b16535adde6aac32e1c</x:v>
      </x:c>
      <x:c r="H31" s="3" t="str">
        <x:v>https://www.lge.co.kr/mkt/review/MD10559863/pdpReviewListPopup</x:v>
      </x:c>
    </x:row>
    <x:row r="32" ht="39" customHeight="1">
      <x:c r="A32" s="3" t="str">
        <x:v>fixed18</x:v>
      </x:c>
      <x:c r="B32" s="3" t="n">
        <x:v>27</x:v>
      </x:c>
      <x:c r="C32" s="3" t="str">
        <x:v>790477</x:v>
      </x:c>
      <x:c r="D32" s="3" t="str">
        <x:v>development</x:v>
      </x:c>
      <x:c r="E32" s="13" t="b">
        <x:v>0</x:v>
      </x:c>
      <x:c r="F32" s="3" t="str">
        <x:v>recommendation</x:v>
      </x:c>
      <x:c r="G32" s="3" t="str">
        <x:v>2b882a3348287720e4858b2ca5d16dd78a511aa1550ef48942170e1cec82de3e</x:v>
      </x:c>
      <x:c r="H32" s="3" t="str">
        <x:v>https://www.lge.co.kr/mkt/review/MD10559863/pdpReviewListPopup</x:v>
      </x:c>
    </x:row>
    <x:row r="33" ht="39" customHeight="1">
      <x:c r="A33" s="3" t="str">
        <x:v>fixed18</x:v>
      </x:c>
      <x:c r="B33" s="3" t="n">
        <x:v>28</x:v>
      </x:c>
      <x:c r="C33" s="3" t="str">
        <x:v>783017</x:v>
      </x:c>
      <x:c r="D33" s="3" t="str">
        <x:v>development</x:v>
      </x:c>
      <x:c r="E33" s="13" t="b">
        <x:v>0</x:v>
      </x:c>
      <x:c r="F33" s="3" t="str">
        <x:v>recommendation</x:v>
      </x:c>
      <x:c r="G33" s="3" t="str">
        <x:v>3cc10fadca82904502cc9dd004c7ca3ec294c559dab63fb716df749c0dc71aa0</x:v>
      </x:c>
      <x:c r="H33" s="3" t="str">
        <x:v>https://www.lge.co.kr/mkt/review/MD10559863/pdpReviewListPopup</x:v>
      </x:c>
    </x:row>
    <x:row r="34" ht="39" customHeight="1">
      <x:c r="A34" s="3" t="str">
        <x:v>fixed18</x:v>
      </x:c>
      <x:c r="B34" s="3" t="n">
        <x:v>29</x:v>
      </x:c>
      <x:c r="C34" s="3" t="str">
        <x:v>772640</x:v>
      </x:c>
      <x:c r="D34" s="3" t="str">
        <x:v>development</x:v>
      </x:c>
      <x:c r="E34" s="13" t="b">
        <x:v>0</x:v>
      </x:c>
      <x:c r="F34" s="3" t="str">
        <x:v>recommendation</x:v>
      </x:c>
      <x:c r="G34" s="3" t="str">
        <x:v>6ba435d53671d53d9151e848667067832d19b6f141b21292dfcfe2229b436b04</x:v>
      </x:c>
      <x:c r="H34" s="3" t="str">
        <x:v>https://www.lge.co.kr/mkt/review/MD10559863/pdpReviewListPopup</x:v>
      </x:c>
    </x:row>
    <x:row r="35" ht="39" customHeight="1">
      <x:c r="A35" s="3" t="str">
        <x:v>fixed18</x:v>
      </x:c>
      <x:c r="B35" s="3" t="n">
        <x:v>30</x:v>
      </x:c>
      <x:c r="C35" s="3" t="str">
        <x:v>858362</x:v>
      </x:c>
      <x:c r="D35" s="3" t="str">
        <x:v>development</x:v>
      </x:c>
      <x:c r="E35" s="13" t="b">
        <x:v>0</x:v>
      </x:c>
      <x:c r="F35" s="3" t="str">
        <x:v>recommendation</x:v>
      </x:c>
      <x:c r="G35" s="3" t="str">
        <x:v>2d33da0f2415253a9a7aff5ae16de949ea3d750ca740794a2df2cdc981b1144b</x:v>
      </x:c>
      <x:c r="H35" s="3" t="str">
        <x:v>https://www.lge.co.kr/mkt/review/MD09322826/pdpReviewListPopup</x:v>
      </x:c>
    </x:row>
    <x:row r="36" ht="39" customHeight="1">
      <x:c r="A36" s="3" t="str">
        <x:v>fixed18</x:v>
      </x:c>
      <x:c r="B36" s="3" t="n">
        <x:v>31</x:v>
      </x:c>
      <x:c r="C36" s="3" t="str">
        <x:v>842430</x:v>
      </x:c>
      <x:c r="D36" s="3" t="str">
        <x:v>demonstration</x:v>
      </x:c>
      <x:c r="E36" s="13" t="b">
        <x:v>0</x:v>
      </x:c>
      <x:c r="F36" s="3" t="str">
        <x:v>recommendation</x:v>
      </x:c>
      <x:c r="G36" s="3" t="str">
        <x:v>023c88e6582862b367db371c3aee8917bf77ba5c2e082b428aa899f16d7c9f4e</x:v>
      </x:c>
      <x:c r="H36" s="3" t="str">
        <x:v>https://www.lge.co.kr/mkt/review/MD09322826/pdpReviewListPopup</x:v>
      </x:c>
    </x:row>
    <x:row r="37" ht="39" customHeight="1">
      <x:c r="A37" s="3" t="str">
        <x:v>fixed18</x:v>
      </x:c>
      <x:c r="B37" s="3" t="n">
        <x:v>32</x:v>
      </x:c>
      <x:c r="C37" s="3" t="str">
        <x:v>780147</x:v>
      </x:c>
      <x:c r="D37" s="3" t="str">
        <x:v>development</x:v>
      </x:c>
      <x:c r="E37" s="13" t="b">
        <x:v>0</x:v>
      </x:c>
      <x:c r="F37" s="3" t="str">
        <x:v>recommendation</x:v>
      </x:c>
      <x:c r="G37" s="3" t="str">
        <x:v>a86384da3eb542d562003378208cac1882b3fe14011250f7eb8ac1110d2e4100</x:v>
      </x:c>
      <x:c r="H37" s="3" t="str">
        <x:v>https://www.lge.co.kr/mkt/review/MD09322826/pdpReviewListPopup</x:v>
      </x:c>
    </x:row>
    <x:row r="38" ht="39" customHeight="1">
      <x:c r="A38" s="3" t="str">
        <x:v>fixed18</x:v>
      </x:c>
      <x:c r="B38" s="3" t="n">
        <x:v>33</x:v>
      </x:c>
      <x:c r="C38" s="3" t="str">
        <x:v>772089</x:v>
      </x:c>
      <x:c r="D38" s="3" t="str">
        <x:v>development</x:v>
      </x:c>
      <x:c r="E38" s="13" t="b">
        <x:v>0</x:v>
      </x:c>
      <x:c r="F38" s="3" t="str">
        <x:v>recommendation</x:v>
      </x:c>
      <x:c r="G38" s="3" t="str">
        <x:v>896f83cb5b4593f0b94ec290fe03af751001491cb430ee60bc534a990fb3c02d</x:v>
      </x:c>
      <x:c r="H38" s="3" t="str">
        <x:v>https://www.lge.co.kr/mkt/review/MD09322826/pdpReviewListPopup</x:v>
      </x:c>
    </x:row>
    <x:row r="39" ht="39" customHeight="1">
      <x:c r="A39" s="3" t="str">
        <x:v>fixed18</x:v>
      </x:c>
      <x:c r="B39" s="3" t="n">
        <x:v>34</x:v>
      </x:c>
      <x:c r="C39" s="3" t="str">
        <x:v>762356</x:v>
      </x:c>
      <x:c r="D39" s="3" t="str">
        <x:v>demonstration</x:v>
      </x:c>
      <x:c r="E39" s="13" t="b">
        <x:v>0</x:v>
      </x:c>
      <x:c r="F39" s="3" t="str">
        <x:v>recommendation</x:v>
      </x:c>
      <x:c r="G39" s="3" t="str">
        <x:v>c35c4768e785db6c2236e28753b921eed923f2c3f11ce6b5898a0478557e1990</x:v>
      </x:c>
      <x:c r="H39" s="3" t="str">
        <x:v>https://www.lge.co.kr/mkt/review/MD09322826/pdpReviewListPopup</x:v>
      </x:c>
    </x:row>
    <x:row r="40" ht="39" customHeight="1">
      <x:c r="A40" s="3" t="str">
        <x:v>fixed18</x:v>
      </x:c>
      <x:c r="B40" s="3" t="n">
        <x:v>35</x:v>
      </x:c>
      <x:c r="C40" s="3" t="str">
        <x:v>753692</x:v>
      </x:c>
      <x:c r="D40" s="3" t="str">
        <x:v>development</x:v>
      </x:c>
      <x:c r="E40" s="13" t="b">
        <x:v>0</x:v>
      </x:c>
      <x:c r="F40" s="3" t="str">
        <x:v>recommendation</x:v>
      </x:c>
      <x:c r="G40" s="3" t="str">
        <x:v>3c66165b79e30425c293548f2a47bd1b75f7e7326f9067b3ac8dc0a73d6a4738</x:v>
      </x:c>
      <x:c r="H40" s="3" t="str">
        <x:v>https://www.lge.co.kr/mkt/review/MD09322826/pdpReviewListPopup</x:v>
      </x:c>
    </x:row>
    <x:row r="41" ht="39" customHeight="1">
      <x:c r="A41" s="3" t="str">
        <x:v>fixed18</x:v>
      </x:c>
      <x:c r="B41" s="3" t="n">
        <x:v>36</x:v>
      </x:c>
      <x:c r="C41" s="3" t="str">
        <x:v>747817</x:v>
      </x:c>
      <x:c r="D41" s="3" t="str">
        <x:v>development</x:v>
      </x:c>
      <x:c r="E41" s="13" t="b">
        <x:v>0</x:v>
      </x:c>
      <x:c r="F41" s="3" t="str">
        <x:v>recommendation</x:v>
      </x:c>
      <x:c r="G41" s="3" t="str">
        <x:v>17e578246f1e8fb463d8b2b19ad8e0b929ac92f2583cca63113e155b17a9191c</x:v>
      </x:c>
      <x:c r="H41" s="3" t="str">
        <x:v>https://www.lge.co.kr/mkt/review/MD09322826/pdpReviewListPopup</x:v>
      </x:c>
    </x:row>
    <x:row r="42" ht="39" customHeight="1">
      <x:c r="A42" s="3" t="str">
        <x:v>fixed18</x:v>
      </x:c>
      <x:c r="B42" s="3" t="n">
        <x:v>37</x:v>
      </x:c>
      <x:c r="C42" s="3" t="str">
        <x:v>729767</x:v>
      </x:c>
      <x:c r="D42" s="3" t="str">
        <x:v>demonstration</x:v>
      </x:c>
      <x:c r="E42" s="13" t="b">
        <x:v>0</x:v>
      </x:c>
      <x:c r="F42" s="3" t="str">
        <x:v>recommendation</x:v>
      </x:c>
      <x:c r="G42" s="3" t="str">
        <x:v>38e6e5a7d6c3b4e6243791d44a357cb657ad062ed645c1409bdca341d55ddcb5</x:v>
      </x:c>
      <x:c r="H42" s="3" t="str">
        <x:v>https://www.lge.co.kr/mkt/review/MD09322826/pdpReviewListPopup</x:v>
      </x:c>
    </x:row>
    <x:row r="43" ht="39" customHeight="1">
      <x:c r="A43" s="3" t="str">
        <x:v>fixed18</x:v>
      </x:c>
      <x:c r="B43" s="3" t="n">
        <x:v>38</x:v>
      </x:c>
      <x:c r="C43" s="3" t="str">
        <x:v>729233</x:v>
      </x:c>
      <x:c r="D43" s="3" t="str">
        <x:v>development</x:v>
      </x:c>
      <x:c r="E43" s="13" t="b">
        <x:v>0</x:v>
      </x:c>
      <x:c r="F43" s="3" t="str">
        <x:v>recommendation</x:v>
      </x:c>
      <x:c r="G43" s="3" t="str">
        <x:v>09f3c9691403594160f6fcd402111d6f1cfd8769c8b3f37c75e65cca730d53ec</x:v>
      </x:c>
      <x:c r="H43" s="3" t="str">
        <x:v>https://www.lge.co.kr/mkt/review/MD09322826/pdpReviewListPopup</x:v>
      </x:c>
    </x:row>
    <x:row r="44" ht="39" customHeight="1">
      <x:c r="A44" s="3" t="str">
        <x:v>fixed18</x:v>
      </x:c>
      <x:c r="B44" s="3" t="n">
        <x:v>39</x:v>
      </x:c>
      <x:c r="C44" s="3" t="str">
        <x:v>723068</x:v>
      </x:c>
      <x:c r="D44" s="3" t="str">
        <x:v>development</x:v>
      </x:c>
      <x:c r="E44" s="13" t="b">
        <x:v>0</x:v>
      </x:c>
      <x:c r="F44" s="3" t="str">
        <x:v>recommendation</x:v>
      </x:c>
      <x:c r="G44" s="3" t="str">
        <x:v>976fd93b9d424de10aae53b59d72dbe6603e5cea677ad99bcc4c4ef0fae645b9</x:v>
      </x:c>
      <x:c r="H44" s="3" t="str">
        <x:v>https://www.lge.co.kr/mkt/review/MD09322826/pdpReviewListPopup</x:v>
      </x:c>
    </x:row>
    <x:row r="45" ht="39" customHeight="1">
      <x:c r="A45" s="3" t="str">
        <x:v>fixed18</x:v>
      </x:c>
      <x:c r="B45" s="3" t="n">
        <x:v>40</x:v>
      </x:c>
      <x:c r="C45" s="3" t="str">
        <x:v>779050</x:v>
      </x:c>
      <x:c r="D45" s="3" t="str">
        <x:v>development</x:v>
      </x:c>
      <x:c r="E45" s="13" t="b">
        <x:v>0</x:v>
      </x:c>
      <x:c r="F45" s="3" t="str">
        <x:v>recommendation</x:v>
      </x:c>
      <x:c r="G45" s="3" t="str">
        <x:v>ad541954b9752b999f7bea22ffbf4eb28799ad302dedf64bd03cdf5a5f2eada9</x:v>
      </x:c>
      <x:c r="H45" s="3" t="str">
        <x:v>https://www.lge.co.kr/mkt/review/MD09811829/pdpReviewListPopup</x:v>
      </x:c>
    </x:row>
    <x:row r="46" ht="39" customHeight="1">
      <x:c r="A46" s="3" t="str">
        <x:v>fixed18</x:v>
      </x:c>
      <x:c r="B46" s="3" t="n">
        <x:v>41</x:v>
      </x:c>
      <x:c r="C46" s="3" t="str">
        <x:v>79363</x:v>
      </x:c>
      <x:c r="D46" s="3" t="str">
        <x:v>independent_evaluation</x:v>
      </x:c>
      <x:c r="E46" s="13" t="b">
        <x:v>0</x:v>
      </x:c>
      <x:c r="F46" s="3" t="str">
        <x:v>recommendation</x:v>
      </x:c>
      <x:c r="G46" s="3" t="str">
        <x:v>cc04dee4b00fb3951915bed4f3d58c0e95fe913ca18c146d8e53627c3d35eace</x:v>
      </x:c>
      <x:c r="H46" s="3" t="str">
        <x:v>https://www.lge.co.kr/mkt/review/MD09811829/pdpReviewListPopup</x:v>
      </x:c>
    </x:row>
    <x:row r="47" ht="39" customHeight="1">
      <x:c r="A47" s="3" t="str">
        <x:v>fixed18</x:v>
      </x:c>
      <x:c r="B47" s="3" t="n">
        <x:v>42</x:v>
      </x:c>
      <x:c r="C47" s="3" t="str">
        <x:v>855415</x:v>
      </x:c>
      <x:c r="D47" s="3" t="str">
        <x:v>development</x:v>
      </x:c>
      <x:c r="E47" s="13" t="b">
        <x:v>0</x:v>
      </x:c>
      <x:c r="F47" s="3" t="str">
        <x:v>recommendation</x:v>
      </x:c>
      <x:c r="G47" s="3" t="str">
        <x:v>6651224ea0c11a4ba195f2ad98c4d7514cfaa10ee798d46c8775feb07aaa7a05</x:v>
      </x:c>
      <x:c r="H47" s="3" t="str">
        <x:v>https://www.lge.co.kr/mkt/review/MD09811829/pdpReviewListPopup</x:v>
      </x:c>
    </x:row>
    <x:row r="48" ht="39" customHeight="1">
      <x:c r="A48" s="3" t="str">
        <x:v>fixed18</x:v>
      </x:c>
      <x:c r="B48" s="3" t="n">
        <x:v>43</x:v>
      </x:c>
      <x:c r="C48" s="3" t="str">
        <x:v>852744</x:v>
      </x:c>
      <x:c r="D48" s="3" t="str">
        <x:v>development</x:v>
      </x:c>
      <x:c r="E48" s="13" t="b">
        <x:v>0</x:v>
      </x:c>
      <x:c r="F48" s="3" t="str">
        <x:v>recommendation</x:v>
      </x:c>
      <x:c r="G48" s="3" t="str">
        <x:v>dce04efe9f32bbbf2c240454e52c7ce9c8122a6caae2aa4cf2e154fe4ba85309</x:v>
      </x:c>
      <x:c r="H48" s="3" t="str">
        <x:v>https://www.lge.co.kr/mkt/review/MD09811829/pdpReviewListPopup</x:v>
      </x:c>
    </x:row>
    <x:row r="49" ht="39" customHeight="1">
      <x:c r="A49" s="3" t="str">
        <x:v>fixed18</x:v>
      </x:c>
      <x:c r="B49" s="3" t="n">
        <x:v>44</x:v>
      </x:c>
      <x:c r="C49" s="3" t="str">
        <x:v>844870</x:v>
      </x:c>
      <x:c r="D49" s="3" t="str">
        <x:v>development</x:v>
      </x:c>
      <x:c r="E49" s="13" t="b">
        <x:v>0</x:v>
      </x:c>
      <x:c r="F49" s="3" t="str">
        <x:v>recommendation</x:v>
      </x:c>
      <x:c r="G49" s="3" t="str">
        <x:v>159ef3c8030f90a26c31352dccb875c52a32ab2bc35f5490c3e4bb8ccbdf0e64</x:v>
      </x:c>
      <x:c r="H49" s="3" t="str">
        <x:v>https://www.lge.co.kr/mkt/review/MD09811829/pdpReviewListPopup</x:v>
      </x:c>
    </x:row>
    <x:row r="50" ht="39" customHeight="1">
      <x:c r="A50" s="3" t="str">
        <x:v>fixed18</x:v>
      </x:c>
      <x:c r="B50" s="3" t="n">
        <x:v>45</x:v>
      </x:c>
      <x:c r="C50" s="3" t="str">
        <x:v>843624</x:v>
      </x:c>
      <x:c r="D50" s="3" t="str">
        <x:v>development</x:v>
      </x:c>
      <x:c r="E50" s="13" t="b">
        <x:v>0</x:v>
      </x:c>
      <x:c r="F50" s="3" t="str">
        <x:v>recommendation</x:v>
      </x:c>
      <x:c r="G50" s="3" t="str">
        <x:v>d9f69c039b2b8a24119193f70c48e10e862ed82b024fec68ed4322d9e340895e</x:v>
      </x:c>
      <x:c r="H50" s="3" t="str">
        <x:v>https://www.lge.co.kr/mkt/review/MD09811829/pdpReviewListPopup</x:v>
      </x:c>
    </x:row>
    <x:row r="51" ht="39" customHeight="1">
      <x:c r="A51" s="3" t="str">
        <x:v>fixed18</x:v>
      </x:c>
      <x:c r="B51" s="3" t="n">
        <x:v>46</x:v>
      </x:c>
      <x:c r="C51" s="3" t="str">
        <x:v>843422</x:v>
      </x:c>
      <x:c r="D51" s="3" t="str">
        <x:v>development</x:v>
      </x:c>
      <x:c r="E51" s="13" t="b">
        <x:v>0</x:v>
      </x:c>
      <x:c r="F51" s="3" t="str">
        <x:v>recommendation</x:v>
      </x:c>
      <x:c r="G51" s="3" t="str">
        <x:v>523b27170c17379829e65ed1b826329daa1cf833da913667960bbf91e07736fb</x:v>
      </x:c>
      <x:c r="H51" s="3" t="str">
        <x:v>https://www.lge.co.kr/mkt/review/MD09811829/pdpReviewListPopup</x:v>
      </x:c>
    </x:row>
    <x:row r="52" ht="39" customHeight="1">
      <x:c r="A52" s="3" t="str">
        <x:v>fixed18</x:v>
      </x:c>
      <x:c r="B52" s="3" t="n">
        <x:v>47</x:v>
      </x:c>
      <x:c r="C52" s="3" t="str">
        <x:v>837864</x:v>
      </x:c>
      <x:c r="D52" s="3" t="str">
        <x:v>demonstration</x:v>
      </x:c>
      <x:c r="E52" s="13" t="b">
        <x:v>0</x:v>
      </x:c>
      <x:c r="F52" s="3" t="str">
        <x:v>recommendation</x:v>
      </x:c>
      <x:c r="G52" s="3" t="str">
        <x:v>a7f2d6a7c9e3796fbac2d28a6288ba8112419725a27e23dbb188a89128c10650</x:v>
      </x:c>
      <x:c r="H52" s="3" t="str">
        <x:v>https://www.lge.co.kr/mkt/review/MD09811829/pdpReviewListPopup</x:v>
      </x:c>
    </x:row>
    <x:row r="53" ht="39" customHeight="1">
      <x:c r="A53" s="3" t="str">
        <x:v>fixed18</x:v>
      </x:c>
      <x:c r="B53" s="3" t="n">
        <x:v>48</x:v>
      </x:c>
      <x:c r="C53" s="3" t="str">
        <x:v>836735</x:v>
      </x:c>
      <x:c r="D53" s="3" t="str">
        <x:v>demonstration</x:v>
      </x:c>
      <x:c r="E53" s="13" t="b">
        <x:v>0</x:v>
      </x:c>
      <x:c r="F53" s="3" t="str">
        <x:v>recommendation</x:v>
      </x:c>
      <x:c r="G53" s="3" t="str">
        <x:v>c18fa48a06230bd553bdf89a85070f0ce6f2c0ab5d1c1fdb6a78c90b226c288d</x:v>
      </x:c>
      <x:c r="H53" s="3" t="str">
        <x:v>https://www.lge.co.kr/mkt/review/MD09811829/pdpReviewListPopup</x:v>
      </x:c>
    </x:row>
    <x:row r="54" ht="39" customHeight="1">
      <x:c r="A54" s="3" t="str">
        <x:v>fixed18</x:v>
      </x:c>
      <x:c r="B54" s="3" t="n">
        <x:v>49</x:v>
      </x:c>
      <x:c r="C54" s="3" t="str">
        <x:v>834674</x:v>
      </x:c>
      <x:c r="D54" s="3" t="str">
        <x:v>development</x:v>
      </x:c>
      <x:c r="E54" s="13" t="b">
        <x:v>0</x:v>
      </x:c>
      <x:c r="F54" s="3" t="str">
        <x:v>recommendation</x:v>
      </x:c>
      <x:c r="G54" s="3" t="str">
        <x:v>faa65e3d4fcf42361da31b00b7c6e4b5659542c8abb033fe72c5413c073f517e</x:v>
      </x:c>
      <x:c r="H54" s="3" t="str">
        <x:v>https://www.lge.co.kr/mkt/review/MD09811829/pdpReviewListPopup</x:v>
      </x:c>
    </x:row>
    <x:row r="55" ht="39" customHeight="1">
      <x:c r="A55" s="3" t="str">
        <x:v>fixed18</x:v>
      </x:c>
      <x:c r="B55" s="3" t="n">
        <x:v>50</x:v>
      </x:c>
      <x:c r="C55" s="3" t="str">
        <x:v>859123</x:v>
      </x:c>
      <x:c r="D55" s="3" t="str">
        <x:v>development</x:v>
      </x:c>
      <x:c r="E55" s="13" t="b">
        <x:v>0</x:v>
      </x:c>
      <x:c r="F55" s="3" t="str">
        <x:v>recommendation</x:v>
      </x:c>
      <x:c r="G55" s="3" t="str">
        <x:v>fcc5833dfe880f361f09f7c4689f15ff6e91f1a8259267fa034312b8b57ab0e1</x:v>
      </x:c>
      <x:c r="H55" s="3" t="str">
        <x:v>https://www.lge.co.kr/mkt/review/MD10715832/pdpReviewListPopup</x:v>
      </x:c>
    </x:row>
    <x:row r="56" ht="39" customHeight="1">
      <x:c r="A56" s="3" t="str">
        <x:v>fixed18</x:v>
      </x:c>
      <x:c r="B56" s="3" t="n">
        <x:v>51</x:v>
      </x:c>
      <x:c r="C56" s="3" t="str">
        <x:v>846540</x:v>
      </x:c>
      <x:c r="D56" s="3" t="str">
        <x:v>quarantine</x:v>
      </x:c>
      <x:c r="E56" s="13" t="b">
        <x:v>0</x:v>
      </x:c>
      <x:c r="F56" s="3" t="str">
        <x:v>recommendation</x:v>
      </x:c>
      <x:c r="G56" s="3" t="str">
        <x:v>7cc850cdde73abacdf13f7fc6dfe5ad0bd7996a05f29e25c484a236735e2d188</x:v>
      </x:c>
      <x:c r="H56" s="3" t="str">
        <x:v>https://www.lge.co.kr/mkt/review/MD10715832/pdpReviewListPopup</x:v>
      </x:c>
    </x:row>
    <x:row r="57" ht="39" customHeight="1">
      <x:c r="A57" s="3" t="str">
        <x:v>fixed18</x:v>
      </x:c>
      <x:c r="B57" s="3" t="n">
        <x:v>52</x:v>
      </x:c>
      <x:c r="C57" s="3" t="str">
        <x:v>832096</x:v>
      </x:c>
      <x:c r="D57" s="3" t="str">
        <x:v>quarantine</x:v>
      </x:c>
      <x:c r="E57" s="13" t="b">
        <x:v>0</x:v>
      </x:c>
      <x:c r="F57" s="3" t="str">
        <x:v>recommendation</x:v>
      </x:c>
      <x:c r="G57" s="3" t="str">
        <x:v>b0d537bc7ecaa97082274af1de6fc8e02e6a9643df1d270218c6a231801439e7</x:v>
      </x:c>
      <x:c r="H57" s="3" t="str">
        <x:v>https://www.lge.co.kr/mkt/review/MD10715832/pdpReviewListPopup</x:v>
      </x:c>
    </x:row>
    <x:row r="58" ht="39" customHeight="1">
      <x:c r="A58" s="3" t="str">
        <x:v>fixed18</x:v>
      </x:c>
      <x:c r="B58" s="3" t="n">
        <x:v>53</x:v>
      </x:c>
      <x:c r="C58" s="3" t="str">
        <x:v>810385</x:v>
      </x:c>
      <x:c r="D58" s="3" t="str">
        <x:v>quarantine</x:v>
      </x:c>
      <x:c r="E58" s="13" t="b">
        <x:v>0</x:v>
      </x:c>
      <x:c r="F58" s="3" t="str">
        <x:v>recommendation</x:v>
      </x:c>
      <x:c r="G58" s="3" t="str">
        <x:v>f7041e6b09edb342bc6032b73ddc840fb18db515c36c5ce9b158950cc96f60fa</x:v>
      </x:c>
      <x:c r="H58" s="3" t="str">
        <x:v>https://www.lge.co.kr/mkt/review/MD10715832/pdpReviewListPopup</x:v>
      </x:c>
    </x:row>
    <x:row r="59" ht="39" customHeight="1">
      <x:c r="A59" s="3" t="str">
        <x:v>fixed18</x:v>
      </x:c>
      <x:c r="B59" s="3" t="n">
        <x:v>54</x:v>
      </x:c>
      <x:c r="C59" s="3" t="str">
        <x:v>781872</x:v>
      </x:c>
      <x:c r="D59" s="3" t="str">
        <x:v>quarantine</x:v>
      </x:c>
      <x:c r="E59" s="13" t="b">
        <x:v>0</x:v>
      </x:c>
      <x:c r="F59" s="3" t="str">
        <x:v>recommendation</x:v>
      </x:c>
      <x:c r="G59" s="3" t="str">
        <x:v>3d6fef9ac31cdc66aacd0bd0b1083f4b6e7bb3cbc4720d6f200b56320c5bb898</x:v>
      </x:c>
      <x:c r="H59" s="3" t="str">
        <x:v>https://www.lge.co.kr/mkt/review/MD10715832/pdpReviewListPopup</x:v>
      </x:c>
    </x:row>
    <x:row r="60" ht="39" customHeight="1">
      <x:c r="A60" s="3" t="str">
        <x:v>fixed18</x:v>
      </x:c>
      <x:c r="B60" s="3" t="n">
        <x:v>55</x:v>
      </x:c>
      <x:c r="C60" s="3" t="str">
        <x:v>767730</x:v>
      </x:c>
      <x:c r="D60" s="3" t="str">
        <x:v>quarantine</x:v>
      </x:c>
      <x:c r="E60" s="13" t="b">
        <x:v>0</x:v>
      </x:c>
      <x:c r="F60" s="3" t="str">
        <x:v>recommendation</x:v>
      </x:c>
      <x:c r="G60" s="3" t="str">
        <x:v>d2a4eef800e20ebd5eb966fc4dd87ebd7c2dd79f48b2200aee7ef365c232386c</x:v>
      </x:c>
      <x:c r="H60" s="3" t="str">
        <x:v>https://www.lge.co.kr/mkt/review/MD10715832/pdpReviewListPopup</x:v>
      </x:c>
    </x:row>
    <x:row r="61" ht="39" customHeight="1">
      <x:c r="A61" s="3" t="str">
        <x:v>fixed18</x:v>
      </x:c>
      <x:c r="B61" s="3" t="n">
        <x:v>56</x:v>
      </x:c>
      <x:c r="C61" s="3" t="str">
        <x:v>763226</x:v>
      </x:c>
      <x:c r="D61" s="3" t="str">
        <x:v>quarantine</x:v>
      </x:c>
      <x:c r="E61" s="13" t="b">
        <x:v>0</x:v>
      </x:c>
      <x:c r="F61" s="3" t="str">
        <x:v>recommendation</x:v>
      </x:c>
      <x:c r="G61" s="3" t="str">
        <x:v>aa03a910c6ab5b1fca9a509e30b23fc57430e9ad34fe0377116e1337d55e00a9</x:v>
      </x:c>
      <x:c r="H61" s="3" t="str">
        <x:v>https://www.lge.co.kr/mkt/review/MD10715832/pdpReviewListPopup</x:v>
      </x:c>
    </x:row>
    <x:row r="62" ht="39" customHeight="1">
      <x:c r="A62" s="3" t="str">
        <x:v>fixed18</x:v>
      </x:c>
      <x:c r="B62" s="3" t="n">
        <x:v>57</x:v>
      </x:c>
      <x:c r="C62" s="3" t="str">
        <x:v>793567</x:v>
      </x:c>
      <x:c r="D62" s="3" t="str">
        <x:v>quarantine</x:v>
      </x:c>
      <x:c r="E62" s="13" t="b">
        <x:v>0</x:v>
      </x:c>
      <x:c r="F62" s="3" t="str">
        <x:v>recommendation</x:v>
      </x:c>
      <x:c r="G62" s="3" t="str">
        <x:v>d1a3e1838840b70347e81345bd09558f5086b962e7350877503f4725a572155f</x:v>
      </x:c>
      <x:c r="H62" s="3" t="str">
        <x:v>https://www.lge.co.kr/mkt/review/MD10715832/pdpReviewListPopup</x:v>
      </x:c>
    </x:row>
    <x:row r="63" ht="39" customHeight="1">
      <x:c r="A63" s="3" t="str">
        <x:v>fixed18</x:v>
      </x:c>
      <x:c r="B63" s="3" t="n">
        <x:v>58</x:v>
      </x:c>
      <x:c r="C63" s="3" t="str">
        <x:v>775733</x:v>
      </x:c>
      <x:c r="D63" s="3" t="str">
        <x:v>quarantine</x:v>
      </x:c>
      <x:c r="E63" s="13" t="b">
        <x:v>0</x:v>
      </x:c>
      <x:c r="F63" s="3" t="str">
        <x:v>recommendation</x:v>
      </x:c>
      <x:c r="G63" s="3" t="str">
        <x:v>00d929f90a5713f205a7f4225c2692aef558bde61806465af4762ee540bc6d7b</x:v>
      </x:c>
      <x:c r="H63" s="3" t="str">
        <x:v>https://www.lge.co.kr/mkt/review/MD10715832/pdpReviewListPopup</x:v>
      </x:c>
    </x:row>
    <x:row r="64" ht="39" customHeight="1">
      <x:c r="A64" s="3" t="str">
        <x:v>fixed18</x:v>
      </x:c>
      <x:c r="B64" s="3" t="n">
        <x:v>59</x:v>
      </x:c>
      <x:c r="C64" s="3" t="str">
        <x:v>760282</x:v>
      </x:c>
      <x:c r="D64" s="3" t="str">
        <x:v>development</x:v>
      </x:c>
      <x:c r="E64" s="13" t="b">
        <x:v>0</x:v>
      </x:c>
      <x:c r="F64" s="3" t="str">
        <x:v>recommendation</x:v>
      </x:c>
      <x:c r="G64" s="3" t="str">
        <x:v>c711f579ef124933da0a75f4760f792fe7bf29ef380941b774ebf03bf633582e</x:v>
      </x:c>
      <x:c r="H64" s="3" t="str">
        <x:v>https://www.lge.co.kr/mkt/review/MD10101826/pdpReviewListPopup</x:v>
      </x:c>
    </x:row>
    <x:row r="65" ht="39" customHeight="1">
      <x:c r="A65" s="3" t="str">
        <x:v>fixed18</x:v>
      </x:c>
      <x:c r="B65" s="3" t="n">
        <x:v>60</x:v>
      </x:c>
      <x:c r="C65" s="3" t="str">
        <x:v>731858</x:v>
      </x:c>
      <x:c r="D65" s="3" t="str">
        <x:v>independent_evaluation</x:v>
      </x:c>
      <x:c r="E65" s="13" t="b">
        <x:v>0</x:v>
      </x:c>
      <x:c r="F65" s="3" t="str">
        <x:v>recommendation</x:v>
      </x:c>
      <x:c r="G65" s="3" t="str">
        <x:v>cebd501880960a9f5895c0e889c4deaf766c2211bd038ef6db1b70cd86e5c24d</x:v>
      </x:c>
      <x:c r="H65" s="3" t="str">
        <x:v>https://www.lge.co.kr/mkt/review/MD10101826/pdpReviewListPopup</x:v>
      </x:c>
    </x:row>
    <x:row r="66" ht="39" customHeight="1">
      <x:c r="A66" s="3" t="str">
        <x:v>fixed18</x:v>
      </x:c>
      <x:c r="B66" s="3" t="n">
        <x:v>61</x:v>
      </x:c>
      <x:c r="C66" s="3" t="str">
        <x:v>727274</x:v>
      </x:c>
      <x:c r="D66" s="3" t="str">
        <x:v>demonstration</x:v>
      </x:c>
      <x:c r="E66" s="13" t="b">
        <x:v>0</x:v>
      </x:c>
      <x:c r="F66" s="3" t="str">
        <x:v>recommendation</x:v>
      </x:c>
      <x:c r="G66" s="3" t="str">
        <x:v>b903833096c4ce068e1e572390d4e3ad643623937348718378b761a510a2c105</x:v>
      </x:c>
      <x:c r="H66" s="3" t="str">
        <x:v>https://www.lge.co.kr/mkt/review/MD10101826/pdpReviewListPopup</x:v>
      </x:c>
    </x:row>
    <x:row r="67" ht="39" customHeight="1">
      <x:c r="A67" s="3" t="str">
        <x:v>fixed18</x:v>
      </x:c>
      <x:c r="B67" s="3" t="n">
        <x:v>62</x:v>
      </x:c>
      <x:c r="C67" s="3" t="str">
        <x:v>667422</x:v>
      </x:c>
      <x:c r="D67" s="3" t="str">
        <x:v>development</x:v>
      </x:c>
      <x:c r="E67" s="13" t="b">
        <x:v>0</x:v>
      </x:c>
      <x:c r="F67" s="3" t="str">
        <x:v>recommendation</x:v>
      </x:c>
      <x:c r="G67" s="3" t="str">
        <x:v>a07f5ce99345016a178514a3af8a0ccfa53a9aaa1c5e6ca0a8ada2fe96066d8b</x:v>
      </x:c>
      <x:c r="H67" s="3" t="str">
        <x:v>https://www.lge.co.kr/mkt/review/MD10101826/pdpReviewListPopup</x:v>
      </x:c>
    </x:row>
    <x:row r="68" ht="39" customHeight="1">
      <x:c r="A68" s="3" t="str">
        <x:v>fixed18</x:v>
      </x:c>
      <x:c r="B68" s="3" t="n">
        <x:v>63</x:v>
      </x:c>
      <x:c r="C68" s="3" t="str">
        <x:v>659358</x:v>
      </x:c>
      <x:c r="D68" s="3" t="str">
        <x:v>development</x:v>
      </x:c>
      <x:c r="E68" s="13" t="b">
        <x:v>0</x:v>
      </x:c>
      <x:c r="F68" s="3" t="str">
        <x:v>recommendation</x:v>
      </x:c>
      <x:c r="G68" s="3" t="str">
        <x:v>ef69968f07f5cf5df512ed6bf3ad9f3155e21533724cab06f1be5ce6f0397ec6</x:v>
      </x:c>
      <x:c r="H68" s="3" t="str">
        <x:v>https://www.lge.co.kr/mkt/review/MD10101826/pdpReviewListPopup</x:v>
      </x:c>
    </x:row>
    <x:row r="69" ht="39" customHeight="1">
      <x:c r="A69" s="3" t="str">
        <x:v>fixed18</x:v>
      </x:c>
      <x:c r="B69" s="3" t="n">
        <x:v>64</x:v>
      </x:c>
      <x:c r="C69" s="3" t="str">
        <x:v>609332</x:v>
      </x:c>
      <x:c r="D69" s="3" t="str">
        <x:v>independent_evaluation</x:v>
      </x:c>
      <x:c r="E69" s="13" t="b">
        <x:v>0</x:v>
      </x:c>
      <x:c r="F69" s="3" t="str">
        <x:v>recommendation</x:v>
      </x:c>
      <x:c r="G69" s="3" t="str">
        <x:v>268ab4c90e800fcab6fc8a7febd7a166377e87f8c07d680b49d90f676dfdca32</x:v>
      </x:c>
      <x:c r="H69" s="3" t="str">
        <x:v>https://www.lge.co.kr/mkt/review/MD10101826/pdpReviewListPopup</x:v>
      </x:c>
    </x:row>
    <x:row r="70" ht="39" customHeight="1">
      <x:c r="A70" s="3" t="str">
        <x:v>fixed18</x:v>
      </x:c>
      <x:c r="B70" s="3" t="n">
        <x:v>65</x:v>
      </x:c>
      <x:c r="C70" s="3" t="str">
        <x:v>511932</x:v>
      </x:c>
      <x:c r="D70" s="3" t="str">
        <x:v>development</x:v>
      </x:c>
      <x:c r="E70" s="13" t="b">
        <x:v>0</x:v>
      </x:c>
      <x:c r="F70" s="3" t="str">
        <x:v>recommendation</x:v>
      </x:c>
      <x:c r="G70" s="3" t="str">
        <x:v>0401a53260c28c075d0c39a23408a30629eb3209391389403e5629c45ff208a1</x:v>
      </x:c>
      <x:c r="H70" s="3" t="str">
        <x:v>https://www.lge.co.kr/mkt/review/MD10101826/pdpReviewListPopup</x:v>
      </x:c>
    </x:row>
    <x:row r="71" ht="39" customHeight="1">
      <x:c r="A71" s="3" t="str">
        <x:v>fixed18</x:v>
      </x:c>
      <x:c r="B71" s="3" t="n">
        <x:v>66</x:v>
      </x:c>
      <x:c r="C71" s="3" t="str">
        <x:v>502883</x:v>
      </x:c>
      <x:c r="D71" s="3" t="str">
        <x:v>demonstration</x:v>
      </x:c>
      <x:c r="E71" s="13" t="b">
        <x:v>0</x:v>
      </x:c>
      <x:c r="F71" s="3" t="str">
        <x:v>recommendation</x:v>
      </x:c>
      <x:c r="G71" s="3" t="str">
        <x:v>e5601312b78980a9c6b3639dec99852951c94da94624e507ebe5bc7c687a1ece</x:v>
      </x:c>
      <x:c r="H71" s="3" t="str">
        <x:v>https://www.lge.co.kr/mkt/review/MD10101826/pdpReviewListPopup</x:v>
      </x:c>
    </x:row>
    <x:row r="72" ht="39" customHeight="1">
      <x:c r="A72" s="3" t="str">
        <x:v>fixed18</x:v>
      </x:c>
      <x:c r="B72" s="3" t="n">
        <x:v>67</x:v>
      </x:c>
      <x:c r="C72" s="3" t="str">
        <x:v>255370</x:v>
      </x:c>
      <x:c r="D72" s="3" t="str">
        <x:v>demonstration</x:v>
      </x:c>
      <x:c r="E72" s="13" t="b">
        <x:v>0</x:v>
      </x:c>
      <x:c r="F72" s="3" t="str">
        <x:v>recommendation</x:v>
      </x:c>
      <x:c r="G72" s="3" t="str">
        <x:v>52d16357cc33ac29a85b490249f7c701e9c8195da3d9491f07e9dcd4f8d54b6e</x:v>
      </x:c>
      <x:c r="H72" s="3" t="str">
        <x:v>https://www.lge.co.kr/mkt/review/MD10101826/pdpReviewListPopup</x:v>
      </x:c>
    </x:row>
    <x:row r="73" ht="39" customHeight="1">
      <x:c r="A73" s="3" t="str">
        <x:v>fixed18</x:v>
      </x:c>
      <x:c r="B73" s="3" t="n">
        <x:v>68</x:v>
      </x:c>
      <x:c r="C73" s="3" t="str">
        <x:v>104380</x:v>
      </x:c>
      <x:c r="D73" s="3" t="str">
        <x:v>development</x:v>
      </x:c>
      <x:c r="E73" s="13" t="b">
        <x:v>0</x:v>
      </x:c>
      <x:c r="F73" s="3" t="str">
        <x:v>recommendation</x:v>
      </x:c>
      <x:c r="G73" s="3" t="str">
        <x:v>58801fc54c4e9ee7b4862e90a1161157e1d313fb6d4fbfea96ef4b22ed2636a0</x:v>
      </x:c>
      <x:c r="H73" s="3" t="str">
        <x:v>https://www.lge.co.kr/mkt/review/MD10101826/pdpReviewListPopup</x:v>
      </x:c>
    </x:row>
    <x:row r="74" ht="39" customHeight="1">
      <x:c r="A74" s="3" t="str">
        <x:v>fixed18</x:v>
      </x:c>
      <x:c r="B74" s="3" t="n">
        <x:v>69</x:v>
      </x:c>
      <x:c r="C74" s="3" t="str">
        <x:v>860977</x:v>
      </x:c>
      <x:c r="D74" s="3" t="str">
        <x:v>development</x:v>
      </x:c>
      <x:c r="E74" s="13" t="b">
        <x:v>0</x:v>
      </x:c>
      <x:c r="F74" s="3" t="str">
        <x:v>recommendation</x:v>
      </x:c>
      <x:c r="G74" s="3" t="str">
        <x:v>3e6f6af5b3e6844b4053145088137f80de5b3a6b405a6f70219208f7a6172335</x:v>
      </x:c>
      <x:c r="H74" s="3" t="str">
        <x:v>https://www.lge.co.kr/mkt/review/MD10738847/pdpReviewListPopup</x:v>
      </x:c>
    </x:row>
    <x:row r="75" ht="39" customHeight="1">
      <x:c r="A75" s="3" t="str">
        <x:v>fixed18</x:v>
      </x:c>
      <x:c r="B75" s="3" t="n">
        <x:v>70</x:v>
      </x:c>
      <x:c r="C75" s="3" t="str">
        <x:v>842682</x:v>
      </x:c>
      <x:c r="D75" s="3" t="str">
        <x:v>demonstration</x:v>
      </x:c>
      <x:c r="E75" s="13" t="b">
        <x:v>0</x:v>
      </x:c>
      <x:c r="F75" s="3" t="str">
        <x:v>recommendation</x:v>
      </x:c>
      <x:c r="G75" s="3" t="str">
        <x:v>61ae005b18a2fdc205f03fcd2c014708bb3e765e96dc506da0721ff92572b8c8</x:v>
      </x:c>
      <x:c r="H75" s="3" t="str">
        <x:v>https://www.lge.co.kr/mkt/review/MD10738847/pdpReviewListPopup</x:v>
      </x:c>
    </x:row>
    <x:row r="76" ht="39" customHeight="1">
      <x:c r="A76" s="3" t="str">
        <x:v>fixed18</x:v>
      </x:c>
      <x:c r="B76" s="3" t="n">
        <x:v>71</x:v>
      </x:c>
      <x:c r="C76" s="3" t="str">
        <x:v>833534</x:v>
      </x:c>
      <x:c r="D76" s="3" t="str">
        <x:v>development</x:v>
      </x:c>
      <x:c r="E76" s="13" t="b">
        <x:v>0</x:v>
      </x:c>
      <x:c r="F76" s="3" t="str">
        <x:v>recommendation</x:v>
      </x:c>
      <x:c r="G76" s="3" t="str">
        <x:v>3a6f800443b582aedf45c099f63359e67524c4f17fb85dd5583112e6246a1d71</x:v>
      </x:c>
      <x:c r="H76" s="3" t="str">
        <x:v>https://www.lge.co.kr/mkt/review/MD10738847/pdpReviewListPopup</x:v>
      </x:c>
    </x:row>
    <x:row r="77" ht="39" customHeight="1">
      <x:c r="A77" s="3" t="str">
        <x:v>fixed18</x:v>
      </x:c>
      <x:c r="B77" s="3" t="n">
        <x:v>72</x:v>
      </x:c>
      <x:c r="C77" s="3" t="str">
        <x:v>825992</x:v>
      </x:c>
      <x:c r="D77" s="3" t="str">
        <x:v>development</x:v>
      </x:c>
      <x:c r="E77" s="13" t="b">
        <x:v>0</x:v>
      </x:c>
      <x:c r="F77" s="3" t="str">
        <x:v>recommendation</x:v>
      </x:c>
      <x:c r="G77" s="3" t="str">
        <x:v>cc8b567d15c0019552384ea9d09315a9a7b7a4c7000866303d3441782b0528d2</x:v>
      </x:c>
      <x:c r="H77" s="3" t="str">
        <x:v>https://www.lge.co.kr/mkt/review/MD10738847/pdpReviewListPopup</x:v>
      </x:c>
    </x:row>
    <x:row r="78" ht="39" customHeight="1">
      <x:c r="A78" s="3" t="str">
        <x:v>fixed18</x:v>
      </x:c>
      <x:c r="B78" s="3" t="n">
        <x:v>73</x:v>
      </x:c>
      <x:c r="C78" s="3" t="str">
        <x:v>799295</x:v>
      </x:c>
      <x:c r="D78" s="3" t="str">
        <x:v>demonstration</x:v>
      </x:c>
      <x:c r="E78" s="13" t="b">
        <x:v>0</x:v>
      </x:c>
      <x:c r="F78" s="3" t="str">
        <x:v>recommendation</x:v>
      </x:c>
      <x:c r="G78" s="3" t="str">
        <x:v>f1bf96901b03b12f702f42179f07ea9fd7c35f7026377db468805a52cfee560c</x:v>
      </x:c>
      <x:c r="H78" s="3" t="str">
        <x:v>https://www.lge.co.kr/mkt/review/MD10738847/pdpReviewListPopup</x:v>
      </x:c>
    </x:row>
    <x:row r="79" ht="39" customHeight="1">
      <x:c r="A79" s="3" t="str">
        <x:v>fixed18</x:v>
      </x:c>
      <x:c r="B79" s="3" t="n">
        <x:v>74</x:v>
      </x:c>
      <x:c r="C79" s="3" t="str">
        <x:v>780844</x:v>
      </x:c>
      <x:c r="D79" s="3" t="str">
        <x:v>demonstration</x:v>
      </x:c>
      <x:c r="E79" s="13" t="b">
        <x:v>0</x:v>
      </x:c>
      <x:c r="F79" s="3" t="str">
        <x:v>recommendation</x:v>
      </x:c>
      <x:c r="G79" s="3" t="str">
        <x:v>9203b728d8f2418bb38a2749a8980569a60c988b6c797c2c220a2e9fa35c2618</x:v>
      </x:c>
      <x:c r="H79" s="3" t="str">
        <x:v>https://www.lge.co.kr/mkt/review/MD10738847/pdpReviewListPopup</x:v>
      </x:c>
    </x:row>
    <x:row r="80" ht="39" customHeight="1">
      <x:c r="A80" s="3" t="str">
        <x:v>fixed18</x:v>
      </x:c>
      <x:c r="B80" s="3" t="n">
        <x:v>75</x:v>
      </x:c>
      <x:c r="C80" s="3" t="str">
        <x:v>754504</x:v>
      </x:c>
      <x:c r="D80" s="3" t="str">
        <x:v>development</x:v>
      </x:c>
      <x:c r="E80" s="13" t="b">
        <x:v>0</x:v>
      </x:c>
      <x:c r="F80" s="3" t="str">
        <x:v>recommendation</x:v>
      </x:c>
      <x:c r="G80" s="3" t="str">
        <x:v>b9f718bc3cb7ba6fb4897e305bbad70fd59ea7a71e47f785908b755335db758c</x:v>
      </x:c>
      <x:c r="H80" s="3" t="str">
        <x:v>https://www.lge.co.kr/mkt/review/MD10738847/pdpReviewListPopup</x:v>
      </x:c>
    </x:row>
    <x:row r="81" ht="39" customHeight="1">
      <x:c r="A81" s="3" t="str">
        <x:v>fixed18</x:v>
      </x:c>
      <x:c r="B81" s="3" t="n">
        <x:v>76</x:v>
      </x:c>
      <x:c r="C81" s="3" t="str">
        <x:v>742689</x:v>
      </x:c>
      <x:c r="D81" s="3" t="str">
        <x:v>development</x:v>
      </x:c>
      <x:c r="E81" s="13" t="b">
        <x:v>0</x:v>
      </x:c>
      <x:c r="F81" s="3" t="str">
        <x:v>recommendation</x:v>
      </x:c>
      <x:c r="G81" s="3" t="str">
        <x:v>7337e03ea259761107698e7beae9b034df8034a705a9543c202953dd22cfa1b7</x:v>
      </x:c>
      <x:c r="H81" s="3" t="str">
        <x:v>https://www.lge.co.kr/mkt/review/MD10738847/pdpReviewListPopup</x:v>
      </x:c>
    </x:row>
    <x:row r="82" ht="39" customHeight="1">
      <x:c r="A82" s="3" t="str">
        <x:v>fixed18</x:v>
      </x:c>
      <x:c r="B82" s="3" t="n">
        <x:v>77</x:v>
      </x:c>
      <x:c r="C82" s="3" t="str">
        <x:v>741519</x:v>
      </x:c>
      <x:c r="D82" s="3" t="str">
        <x:v>demonstration</x:v>
      </x:c>
      <x:c r="E82" s="13" t="b">
        <x:v>0</x:v>
      </x:c>
      <x:c r="F82" s="3" t="str">
        <x:v>recommendation</x:v>
      </x:c>
      <x:c r="G82" s="3" t="str">
        <x:v>69a4b186b773eaa744768c0578178a4bfe3962b1bfe0f96db87b68327323b05b</x:v>
      </x:c>
      <x:c r="H82" s="3" t="str">
        <x:v>https://www.lge.co.kr/mkt/review/MD10738847/pdpReviewListPopup</x:v>
      </x:c>
    </x:row>
    <x:row r="83" ht="39" customHeight="1">
      <x:c r="A83" s="3" t="str">
        <x:v>fixed18</x:v>
      </x:c>
      <x:c r="B83" s="3" t="n">
        <x:v>78</x:v>
      </x:c>
      <x:c r="C83" s="3" t="str">
        <x:v>728848</x:v>
      </x:c>
      <x:c r="D83" s="3" t="str">
        <x:v>independent_evaluation</x:v>
      </x:c>
      <x:c r="E83" s="13" t="b">
        <x:v>0</x:v>
      </x:c>
      <x:c r="F83" s="3" t="str">
        <x:v>recommendation</x:v>
      </x:c>
      <x:c r="G83" s="3" t="str">
        <x:v>e16ce54a3f4027ef7e58e90d8b7a600a6477c8c7d397394973d01ba80ddff223</x:v>
      </x:c>
      <x:c r="H83" s="3" t="str">
        <x:v>https://www.lge.co.kr/mkt/review/MD10738847/pdpReviewListPopup</x:v>
      </x:c>
    </x:row>
    <x:row r="84" ht="39" customHeight="1">
      <x:c r="A84" s="3" t="str">
        <x:v>fixed18</x:v>
      </x:c>
      <x:c r="B84" s="3" t="n">
        <x:v>79</x:v>
      </x:c>
      <x:c r="C84" s="3" t="str">
        <x:v>861338</x:v>
      </x:c>
      <x:c r="D84" s="3" t="str">
        <x:v>development</x:v>
      </x:c>
      <x:c r="E84" s="13" t="b">
        <x:v>0</x:v>
      </x:c>
      <x:c r="F84" s="3" t="str">
        <x:v>recommendation</x:v>
      </x:c>
      <x:c r="G84" s="3" t="str">
        <x:v>de55955ebba0242f491656db41ed28f2bf582a4217738422f3cc92d8487f5c4d</x:v>
      </x:c>
      <x:c r="H84" s="3" t="str">
        <x:v>https://www.lge.co.kr/mkt/review/MD10817828/pdpReviewListPopup</x:v>
      </x:c>
    </x:row>
    <x:row r="85" ht="39" customHeight="1">
      <x:c r="A85" s="3" t="str">
        <x:v>fixed18</x:v>
      </x:c>
      <x:c r="B85" s="3" t="n">
        <x:v>80</x:v>
      </x:c>
      <x:c r="C85" s="3" t="str">
        <x:v>861210</x:v>
      </x:c>
      <x:c r="D85" s="3" t="str">
        <x:v>demonstration</x:v>
      </x:c>
      <x:c r="E85" s="13" t="b">
        <x:v>0</x:v>
      </x:c>
      <x:c r="F85" s="3" t="str">
        <x:v>recommendation</x:v>
      </x:c>
      <x:c r="G85" s="3" t="str">
        <x:v>7327e59162a9947ba4ecc683dfc67aa62bf67225afe1cfba8d3aba03cde2c7e8</x:v>
      </x:c>
      <x:c r="H85" s="3" t="str">
        <x:v>https://www.lge.co.kr/mkt/review/MD10817828/pdpReviewListPopup</x:v>
      </x:c>
    </x:row>
    <x:row r="86" ht="39" customHeight="1">
      <x:c r="A86" s="3" t="str">
        <x:v>fixed18</x:v>
      </x:c>
      <x:c r="B86" s="3" t="n">
        <x:v>81</x:v>
      </x:c>
      <x:c r="C86" s="3" t="str">
        <x:v>841543</x:v>
      </x:c>
      <x:c r="D86" s="3" t="str">
        <x:v>development</x:v>
      </x:c>
      <x:c r="E86" s="13" t="b">
        <x:v>0</x:v>
      </x:c>
      <x:c r="F86" s="3" t="str">
        <x:v>recommendation</x:v>
      </x:c>
      <x:c r="G86" s="3" t="str">
        <x:v>5f3a8f26b2ca619347a753f3f743191fe26f58115fd2a0c93e44fe2f26c381b5</x:v>
      </x:c>
      <x:c r="H86" s="3" t="str">
        <x:v>https://www.lge.co.kr/mkt/review/MD10817828/pdpReviewListPopup</x:v>
      </x:c>
    </x:row>
    <x:row r="87" ht="39" customHeight="1">
      <x:c r="A87" s="3" t="str">
        <x:v>fixed18</x:v>
      </x:c>
      <x:c r="B87" s="3" t="n">
        <x:v>82</x:v>
      </x:c>
      <x:c r="C87" s="3" t="str">
        <x:v>840296</x:v>
      </x:c>
      <x:c r="D87" s="3" t="str">
        <x:v>independent_evaluation</x:v>
      </x:c>
      <x:c r="E87" s="13" t="b">
        <x:v>0</x:v>
      </x:c>
      <x:c r="F87" s="3" t="str">
        <x:v>recommendation</x:v>
      </x:c>
      <x:c r="G87" s="3" t="str">
        <x:v>1a186bfb0104b6b197e53eaa52792160b6ea2428f787bf2c460ad2b0e6f87259</x:v>
      </x:c>
      <x:c r="H87" s="3" t="str">
        <x:v>https://www.lge.co.kr/mkt/review/MD10817828/pdpReviewListPopup</x:v>
      </x:c>
    </x:row>
    <x:row r="88" ht="39" customHeight="1">
      <x:c r="A88" s="3" t="str">
        <x:v>fixed18</x:v>
      </x:c>
      <x:c r="B88" s="3" t="n">
        <x:v>83</x:v>
      </x:c>
      <x:c r="C88" s="3" t="str">
        <x:v>837323</x:v>
      </x:c>
      <x:c r="D88" s="3" t="str">
        <x:v>development</x:v>
      </x:c>
      <x:c r="E88" s="13" t="b">
        <x:v>0</x:v>
      </x:c>
      <x:c r="F88" s="3" t="str">
        <x:v>recommendation</x:v>
      </x:c>
      <x:c r="G88" s="3" t="str">
        <x:v>cb960a112e567e1ab1d2892f80a76137dc52645fe93e155b44925c149d6a71e0</x:v>
      </x:c>
      <x:c r="H88" s="3" t="str">
        <x:v>https://www.lge.co.kr/mkt/review/MD10817828/pdpReviewListPopup</x:v>
      </x:c>
    </x:row>
    <x:row r="89" ht="39" customHeight="1">
      <x:c r="A89" s="3" t="str">
        <x:v>fixed18</x:v>
      </x:c>
      <x:c r="B89" s="3" t="n">
        <x:v>84</x:v>
      </x:c>
      <x:c r="C89" s="3" t="str">
        <x:v>822940</x:v>
      </x:c>
      <x:c r="D89" s="3" t="str">
        <x:v>development</x:v>
      </x:c>
      <x:c r="E89" s="13" t="b">
        <x:v>0</x:v>
      </x:c>
      <x:c r="F89" s="3" t="str">
        <x:v>recommendation</x:v>
      </x:c>
      <x:c r="G89" s="3" t="str">
        <x:v>62d7e996e148a5d8fc01b6b03ccd05c21f2165d7b247e516e7c94de077cb3a5f</x:v>
      </x:c>
      <x:c r="H89" s="3" t="str">
        <x:v>https://www.lge.co.kr/mkt/review/MD10817828/pdpReviewListPopup</x:v>
      </x:c>
    </x:row>
    <x:row r="90" ht="39" customHeight="1">
      <x:c r="A90" s="3" t="str">
        <x:v>fixed18</x:v>
      </x:c>
      <x:c r="B90" s="3" t="n">
        <x:v>85</x:v>
      </x:c>
      <x:c r="C90" s="3" t="str">
        <x:v>817898</x:v>
      </x:c>
      <x:c r="D90" s="3" t="str">
        <x:v>development</x:v>
      </x:c>
      <x:c r="E90" s="13" t="b">
        <x:v>0</x:v>
      </x:c>
      <x:c r="F90" s="3" t="str">
        <x:v>recommendation</x:v>
      </x:c>
      <x:c r="G90" s="3" t="str">
        <x:v>bd235f52fcec68c1804df82b756130944d4ecc496963c382c2be3a75d20090e5</x:v>
      </x:c>
      <x:c r="H90" s="3" t="str">
        <x:v>https://www.lge.co.kr/mkt/review/MD10817828/pdpReviewListPopup</x:v>
      </x:c>
    </x:row>
    <x:row r="91" ht="39" customHeight="1">
      <x:c r="A91" s="3" t="str">
        <x:v>fixed18</x:v>
      </x:c>
      <x:c r="B91" s="3" t="n">
        <x:v>86</x:v>
      </x:c>
      <x:c r="C91" s="3" t="str">
        <x:v>817841</x:v>
      </x:c>
      <x:c r="D91" s="3" t="str">
        <x:v>development</x:v>
      </x:c>
      <x:c r="E91" s="13" t="b">
        <x:v>0</x:v>
      </x:c>
      <x:c r="F91" s="3" t="str">
        <x:v>recommendation</x:v>
      </x:c>
      <x:c r="G91" s="3" t="str">
        <x:v>31e8cf5c68a94f7575e9e6e87de075b4997e17ff0fc8b1d0ffbcbf39d167b883</x:v>
      </x:c>
      <x:c r="H91" s="3" t="str">
        <x:v>https://www.lge.co.kr/mkt/review/MD10817828/pdpReviewListPopup</x:v>
      </x:c>
    </x:row>
    <x:row r="92" ht="39" customHeight="1">
      <x:c r="A92" s="3" t="str">
        <x:v>fixed18</x:v>
      </x:c>
      <x:c r="B92" s="3" t="n">
        <x:v>87</x:v>
      </x:c>
      <x:c r="C92" s="3" t="str">
        <x:v>813984</x:v>
      </x:c>
      <x:c r="D92" s="3" t="str">
        <x:v>demonstration</x:v>
      </x:c>
      <x:c r="E92" s="13" t="b">
        <x:v>0</x:v>
      </x:c>
      <x:c r="F92" s="3" t="str">
        <x:v>recommendation</x:v>
      </x:c>
      <x:c r="G92" s="3" t="str">
        <x:v>7dc3aa82726afb9ce23fddb5dab4906fe11aa531ea9ab4f4dd4178daedb1d773</x:v>
      </x:c>
      <x:c r="H92" s="3" t="str">
        <x:v>https://www.lge.co.kr/mkt/review/MD10817828/pdpReviewListPopup</x:v>
      </x:c>
    </x:row>
    <x:row r="93" ht="39" customHeight="1">
      <x:c r="A93" s="3" t="str">
        <x:v>fixed18</x:v>
      </x:c>
      <x:c r="B93" s="3" t="n">
        <x:v>88</x:v>
      </x:c>
      <x:c r="C93" s="3" t="str">
        <x:v>805735</x:v>
      </x:c>
      <x:c r="D93" s="3" t="str">
        <x:v>development</x:v>
      </x:c>
      <x:c r="E93" s="13" t="b">
        <x:v>0</x:v>
      </x:c>
      <x:c r="F93" s="3" t="str">
        <x:v>recommendation</x:v>
      </x:c>
      <x:c r="G93" s="3" t="str">
        <x:v>6066523f602072d22d22fbb07672503f13fc612a7fd8e0b763d8a1b5e5e03415</x:v>
      </x:c>
      <x:c r="H93" s="3" t="str">
        <x:v>https://www.lge.co.kr/mkt/review/MD10817828/pdpReviewListPopup</x:v>
      </x:c>
    </x:row>
    <x:row r="94" ht="39" customHeight="1">
      <x:c r="A94" s="3" t="str">
        <x:v>fixed18</x:v>
      </x:c>
      <x:c r="B94" s="3" t="n">
        <x:v>89</x:v>
      </x:c>
      <x:c r="C94" s="3" t="str">
        <x:v>819162</x:v>
      </x:c>
      <x:c r="D94" s="3" t="str">
        <x:v>independent_evaluation</x:v>
      </x:c>
      <x:c r="E94" s="13" t="b">
        <x:v>0</x:v>
      </x:c>
      <x:c r="F94" s="3" t="str">
        <x:v>recommendation</x:v>
      </x:c>
      <x:c r="G94" s="3" t="str">
        <x:v>ff39bd67110a6e34748d98698933344b22474aa9110e08c8ef7edd66bcb94033</x:v>
      </x:c>
      <x:c r="H94" s="3" t="str">
        <x:v>https://www.lge.co.kr/mkt/review/MD08039645/pdpReviewListPopup</x:v>
      </x:c>
    </x:row>
    <x:row r="95" ht="39" customHeight="1">
      <x:c r="A95" s="3" t="str">
        <x:v>fixed18</x:v>
      </x:c>
      <x:c r="B95" s="3" t="n">
        <x:v>90</x:v>
      </x:c>
      <x:c r="C95" s="3" t="str">
        <x:v>719838</x:v>
      </x:c>
      <x:c r="D95" s="3" t="str">
        <x:v>development</x:v>
      </x:c>
      <x:c r="E95" s="13" t="b">
        <x:v>0</x:v>
      </x:c>
      <x:c r="F95" s="3" t="str">
        <x:v>recommendation</x:v>
      </x:c>
      <x:c r="G95" s="3" t="str">
        <x:v>2c3eab51073880aa77db8fb7574d1346cd3d9b8f983ac2b39d5c5c06c7294784</x:v>
      </x:c>
      <x:c r="H95" s="3" t="str">
        <x:v>https://www.lge.co.kr/mkt/review/MD08039645/pdpReviewListPopup</x:v>
      </x:c>
    </x:row>
    <x:row r="96" ht="39" customHeight="1">
      <x:c r="A96" s="3" t="str">
        <x:v>fixed18</x:v>
      </x:c>
      <x:c r="B96" s="3" t="n">
        <x:v>91</x:v>
      </x:c>
      <x:c r="C96" s="3" t="str">
        <x:v>589820</x:v>
      </x:c>
      <x:c r="D96" s="3" t="str">
        <x:v>development</x:v>
      </x:c>
      <x:c r="E96" s="13" t="b">
        <x:v>0</x:v>
      </x:c>
      <x:c r="F96" s="3" t="str">
        <x:v>recommendation</x:v>
      </x:c>
      <x:c r="G96" s="3" t="str">
        <x:v>8b14a773a2d08a8addf68027f8e153a50a2e823646d467430188b6d1a2753d9d</x:v>
      </x:c>
      <x:c r="H96" s="3" t="str">
        <x:v>https://www.lge.co.kr/mkt/review/MD08039645/pdpReviewListPopup</x:v>
      </x:c>
    </x:row>
    <x:row r="97" ht="39" customHeight="1">
      <x:c r="A97" s="3" t="str">
        <x:v>fixed18</x:v>
      </x:c>
      <x:c r="B97" s="3" t="n">
        <x:v>92</x:v>
      </x:c>
      <x:c r="C97" s="3" t="str">
        <x:v>50265</x:v>
      </x:c>
      <x:c r="D97" s="3" t="str">
        <x:v>demonstration</x:v>
      </x:c>
      <x:c r="E97" s="13" t="b">
        <x:v>0</x:v>
      </x:c>
      <x:c r="F97" s="3" t="str">
        <x:v>recommendation</x:v>
      </x:c>
      <x:c r="G97" s="3" t="str">
        <x:v>e7098ee61e3270fc3805d23cc3ebf760dbae944e5168de5fe69466ba9bc3f720</x:v>
      </x:c>
      <x:c r="H97" s="3" t="str">
        <x:v>https://www.lge.co.kr/mkt/review/MD08039645/pdpReviewListPopup</x:v>
      </x:c>
    </x:row>
    <x:row r="98" ht="39" customHeight="1">
      <x:c r="A98" s="3" t="str">
        <x:v>fixed18</x:v>
      </x:c>
      <x:c r="B98" s="3" t="n">
        <x:v>93</x:v>
      </x:c>
      <x:c r="C98" s="3" t="str">
        <x:v>606642</x:v>
      </x:c>
      <x:c r="D98" s="3" t="str">
        <x:v>development</x:v>
      </x:c>
      <x:c r="E98" s="13" t="b">
        <x:v>0</x:v>
      </x:c>
      <x:c r="F98" s="3" t="str">
        <x:v>recommendation</x:v>
      </x:c>
      <x:c r="G98" s="3" t="str">
        <x:v>853ed732df9d80884028feadc3dbf2bf52313b407be52bbad0a277c01c01648c</x:v>
      </x:c>
      <x:c r="H98" s="3" t="str">
        <x:v>https://www.lge.co.kr/mkt/review/MD08039645/pdpReviewListPopup</x:v>
      </x:c>
    </x:row>
    <x:row r="99" ht="39" customHeight="1">
      <x:c r="A99" s="3" t="str">
        <x:v>fixed18</x:v>
      </x:c>
      <x:c r="B99" s="3" t="n">
        <x:v>94</x:v>
      </x:c>
      <x:c r="C99" s="3" t="str">
        <x:v>525826</x:v>
      </x:c>
      <x:c r="D99" s="3" t="str">
        <x:v>development</x:v>
      </x:c>
      <x:c r="E99" s="13" t="b">
        <x:v>0</x:v>
      </x:c>
      <x:c r="F99" s="3" t="str">
        <x:v>recommendation</x:v>
      </x:c>
      <x:c r="G99" s="3" t="str">
        <x:v>9d6c03f88640e5f428ce9ea9d0f3bac08afc4966a40248dc497447c7f0e35cae</x:v>
      </x:c>
      <x:c r="H99" s="3" t="str">
        <x:v>https://www.lge.co.kr/mkt/review/MD08039645/pdpReviewListPopup</x:v>
      </x:c>
    </x:row>
    <x:row r="100" ht="39" customHeight="1">
      <x:c r="A100" s="3" t="str">
        <x:v>fixed18</x:v>
      </x:c>
      <x:c r="B100" s="3" t="n">
        <x:v>95</x:v>
      </x:c>
      <x:c r="C100" s="3" t="str">
        <x:v>859715</x:v>
      </x:c>
      <x:c r="D100" s="3" t="str">
        <x:v>development</x:v>
      </x:c>
      <x:c r="E100" s="13" t="b">
        <x:v>0</x:v>
      </x:c>
      <x:c r="F100" s="3" t="str">
        <x:v>recommendation</x:v>
      </x:c>
      <x:c r="G100" s="3" t="str">
        <x:v>df036be3aea89a13ae58abecc1a87947da275145cb5624c31ff7cd5e5c767769</x:v>
      </x:c>
      <x:c r="H100" s="3" t="str">
        <x:v>https://www.lge.co.kr/mkt/review/MD08039645/pdpReviewListPopup</x:v>
      </x:c>
    </x:row>
    <x:row r="101" ht="39" customHeight="1">
      <x:c r="A101" s="3" t="str">
        <x:v>fixed18</x:v>
      </x:c>
      <x:c r="B101" s="3" t="n">
        <x:v>96</x:v>
      </x:c>
      <x:c r="C101" s="3" t="str">
        <x:v>858864</x:v>
      </x:c>
      <x:c r="D101" s="3" t="str">
        <x:v>independent_evaluation</x:v>
      </x:c>
      <x:c r="E101" s="13" t="b">
        <x:v>0</x:v>
      </x:c>
      <x:c r="F101" s="3" t="str">
        <x:v>recommendation</x:v>
      </x:c>
      <x:c r="G101" s="3" t="str">
        <x:v>659c1802d02ffabd8ba51abe1a23f87b3d20044b693755cab9fb54a20053b71f</x:v>
      </x:c>
      <x:c r="H101" s="3" t="str">
        <x:v>https://www.lge.co.kr/mkt/review/MD08039645/pdpReviewListPopup</x:v>
      </x:c>
    </x:row>
    <x:row r="102" ht="39" customHeight="1">
      <x:c r="A102" s="3" t="str">
        <x:v>fixed18</x:v>
      </x:c>
      <x:c r="B102" s="3" t="n">
        <x:v>97</x:v>
      </x:c>
      <x:c r="C102" s="3" t="str">
        <x:v>857470</x:v>
      </x:c>
      <x:c r="D102" s="3" t="str">
        <x:v>demonstration</x:v>
      </x:c>
      <x:c r="E102" s="13" t="b">
        <x:v>0</x:v>
      </x:c>
      <x:c r="F102" s="3" t="str">
        <x:v>recommendation</x:v>
      </x:c>
      <x:c r="G102" s="3" t="str">
        <x:v>535f084f917f23bb71225e778cb5c4bcee4024c8bcf3058b171cd67de2fef856</x:v>
      </x:c>
      <x:c r="H102" s="3" t="str">
        <x:v>https://www.lge.co.kr/mkt/review/MD08039645/pdpReviewListPopup</x:v>
      </x:c>
    </x:row>
    <x:row r="103" ht="39" customHeight="1">
      <x:c r="A103" s="3" t="str">
        <x:v>fixed18</x:v>
      </x:c>
      <x:c r="B103" s="3" t="n">
        <x:v>98</x:v>
      </x:c>
      <x:c r="C103" s="3" t="str">
        <x:v>856244</x:v>
      </x:c>
      <x:c r="D103" s="3" t="str">
        <x:v>development</x:v>
      </x:c>
      <x:c r="E103" s="13" t="b">
        <x:v>0</x:v>
      </x:c>
      <x:c r="F103" s="3" t="str">
        <x:v>recommendation</x:v>
      </x:c>
      <x:c r="G103" s="3" t="str">
        <x:v>2f64ecb8d3c81f1e2a7399931bc00210bc4bca9fa435a55c661dfbea1b1f477a</x:v>
      </x:c>
      <x:c r="H103" s="3" t="str">
        <x:v>https://www.lge.co.kr/mkt/review/MD08039645/pdpReviewListPopup</x:v>
      </x:c>
    </x:row>
    <x:row r="104" ht="39" customHeight="1">
      <x:c r="A104" s="3" t="str">
        <x:v>fixed18</x:v>
      </x:c>
      <x:c r="B104" s="3" t="n">
        <x:v>99</x:v>
      </x:c>
      <x:c r="C104" s="3" t="str">
        <x:v>635873</x:v>
      </x:c>
      <x:c r="D104" s="3" t="str">
        <x:v>development</x:v>
      </x:c>
      <x:c r="E104" s="13" t="b">
        <x:v>0</x:v>
      </x:c>
      <x:c r="F104" s="3" t="str">
        <x:v>recommendation</x:v>
      </x:c>
      <x:c r="G104" s="3" t="str">
        <x:v>0fd9877cc1cee43281b7e18f7423b6012d082da2aff562fea47a754e5e1e460a</x:v>
      </x:c>
      <x:c r="H104" s="3" t="str">
        <x:v>https://www.lge.co.kr/mkt/review/MD09144829/pdpReviewListPopup</x:v>
      </x:c>
    </x:row>
    <x:row r="105" ht="39" customHeight="1">
      <x:c r="A105" s="3" t="str">
        <x:v>fixed18</x:v>
      </x:c>
      <x:c r="B105" s="3" t="n">
        <x:v>100</x:v>
      </x:c>
      <x:c r="C105" s="3" t="str">
        <x:v>631655</x:v>
      </x:c>
      <x:c r="D105" s="3" t="str">
        <x:v>development</x:v>
      </x:c>
      <x:c r="E105" s="13" t="b">
        <x:v>0</x:v>
      </x:c>
      <x:c r="F105" s="3" t="str">
        <x:v>recommendation</x:v>
      </x:c>
      <x:c r="G105" s="3" t="str">
        <x:v>5f564acd68943e341d74d98ff7d92ac9a26339986f6281f1263e45064fe682a0</x:v>
      </x:c>
      <x:c r="H105" s="3" t="str">
        <x:v>https://www.lge.co.kr/mkt/review/MD09144829/pdpReviewListPopup</x:v>
      </x:c>
    </x:row>
    <x:row r="106" ht="39" customHeight="1">
      <x:c r="A106" s="3" t="str">
        <x:v>fixed18</x:v>
      </x:c>
      <x:c r="B106" s="3" t="n">
        <x:v>101</x:v>
      </x:c>
      <x:c r="C106" s="3" t="str">
        <x:v>613777</x:v>
      </x:c>
      <x:c r="D106" s="3" t="str">
        <x:v>demonstration</x:v>
      </x:c>
      <x:c r="E106" s="13" t="b">
        <x:v>0</x:v>
      </x:c>
      <x:c r="F106" s="3" t="str">
        <x:v>recommendation</x:v>
      </x:c>
      <x:c r="G106" s="3" t="str">
        <x:v>2dc1f4b1459e9ad94a74b9ee5ffc7f184aa35631e7fc592358c5e7ec9dc7a125</x:v>
      </x:c>
      <x:c r="H106" s="3" t="str">
        <x:v>https://www.lge.co.kr/mkt/review/MD09144829/pdpReviewListPopup</x:v>
      </x:c>
    </x:row>
    <x:row r="107" ht="39" customHeight="1">
      <x:c r="A107" s="3" t="str">
        <x:v>fixed18</x:v>
      </x:c>
      <x:c r="B107" s="3" t="n">
        <x:v>102</x:v>
      </x:c>
      <x:c r="C107" s="3" t="str">
        <x:v>455787</x:v>
      </x:c>
      <x:c r="D107" s="3" t="str">
        <x:v>development</x:v>
      </x:c>
      <x:c r="E107" s="13" t="b">
        <x:v>0</x:v>
      </x:c>
      <x:c r="F107" s="3" t="str">
        <x:v>recommendation</x:v>
      </x:c>
      <x:c r="G107" s="3" t="str">
        <x:v>e317ccd3bc18d55e10d1038eb9c42fed1bb92da963d84293f43e9de75234dc51</x:v>
      </x:c>
      <x:c r="H107" s="3" t="str">
        <x:v>https://www.lge.co.kr/mkt/review/MD09144829/pdpReviewListPopup</x:v>
      </x:c>
    </x:row>
    <x:row r="108" ht="39" customHeight="1">
      <x:c r="A108" s="3" t="str">
        <x:v>fixed18</x:v>
      </x:c>
      <x:c r="B108" s="3" t="n">
        <x:v>103</x:v>
      </x:c>
      <x:c r="C108" s="3" t="str">
        <x:v>349833</x:v>
      </x:c>
      <x:c r="D108" s="3" t="str">
        <x:v>demonstration</x:v>
      </x:c>
      <x:c r="E108" s="13" t="b">
        <x:v>0</x:v>
      </x:c>
      <x:c r="F108" s="3" t="str">
        <x:v>recommendation</x:v>
      </x:c>
      <x:c r="G108" s="3" t="str">
        <x:v>e6dd44f83aaa6828e65b58e1b350396cf5e5df61a404ba2a43d8c9f478dc4a32</x:v>
      </x:c>
      <x:c r="H108" s="3" t="str">
        <x:v>https://www.lge.co.kr/mkt/review/MD09144829/pdpReviewListPopup</x:v>
      </x:c>
    </x:row>
    <x:row r="109" ht="39" customHeight="1">
      <x:c r="A109" s="3" t="str">
        <x:v>fixed18</x:v>
      </x:c>
      <x:c r="B109" s="3" t="n">
        <x:v>104</x:v>
      </x:c>
      <x:c r="C109" s="3" t="str">
        <x:v>267547</x:v>
      </x:c>
      <x:c r="D109" s="3" t="str">
        <x:v>independent_evaluation</x:v>
      </x:c>
      <x:c r="E109" s="13" t="b">
        <x:v>0</x:v>
      </x:c>
      <x:c r="F109" s="3" t="str">
        <x:v>recommendation</x:v>
      </x:c>
      <x:c r="G109" s="3" t="str">
        <x:v>4f050729789186261bc9ef16f446734eec38955b3bd4e4be1dd96a93a2adbcbd</x:v>
      </x:c>
      <x:c r="H109" s="3" t="str">
        <x:v>https://www.lge.co.kr/mkt/review/MD09144829/pdpReviewListPopup</x:v>
      </x:c>
    </x:row>
    <x:row r="110" ht="39" customHeight="1">
      <x:c r="A110" s="3" t="str">
        <x:v>fixed18</x:v>
      </x:c>
      <x:c r="B110" s="3" t="n">
        <x:v>105</x:v>
      </x:c>
      <x:c r="C110" s="3" t="str">
        <x:v>236434</x:v>
      </x:c>
      <x:c r="D110" s="3" t="str">
        <x:v>development</x:v>
      </x:c>
      <x:c r="E110" s="13" t="b">
        <x:v>0</x:v>
      </x:c>
      <x:c r="F110" s="3" t="str">
        <x:v>recommendation</x:v>
      </x:c>
      <x:c r="G110" s="3" t="str">
        <x:v>86d042a962a5565dc6ed7d2e51afaf3fe7e6b2ed05c486273dd29e77c6dfb797</x:v>
      </x:c>
      <x:c r="H110" s="3" t="str">
        <x:v>https://www.lge.co.kr/mkt/review/MD09144829/pdpReviewListPopup</x:v>
      </x:c>
    </x:row>
    <x:row r="111" ht="39" customHeight="1">
      <x:c r="A111" s="3" t="str">
        <x:v>fixed18</x:v>
      </x:c>
      <x:c r="B111" s="3" t="n">
        <x:v>106</x:v>
      </x:c>
      <x:c r="C111" s="3" t="str">
        <x:v>222140</x:v>
      </x:c>
      <x:c r="D111" s="3" t="str">
        <x:v>development</x:v>
      </x:c>
      <x:c r="E111" s="13" t="b">
        <x:v>0</x:v>
      </x:c>
      <x:c r="F111" s="3" t="str">
        <x:v>recommendation</x:v>
      </x:c>
      <x:c r="G111" s="3" t="str">
        <x:v>138a0c31e87d105aba87f1ebd22769839b4fa9773e5bbba2c668e481d9a094f4</x:v>
      </x:c>
      <x:c r="H111" s="3" t="str">
        <x:v>https://www.lge.co.kr/mkt/review/MD09144829/pdpReviewListPopup</x:v>
      </x:c>
    </x:row>
    <x:row r="112" ht="39" customHeight="1">
      <x:c r="A112" s="3" t="str">
        <x:v>fixed18</x:v>
      </x:c>
      <x:c r="B112" s="3" t="n">
        <x:v>107</x:v>
      </x:c>
      <x:c r="C112" s="3" t="str">
        <x:v>45725</x:v>
      </x:c>
      <x:c r="D112" s="3" t="str">
        <x:v>development</x:v>
      </x:c>
      <x:c r="E112" s="13" t="b">
        <x:v>0</x:v>
      </x:c>
      <x:c r="F112" s="3" t="str">
        <x:v>recommendation</x:v>
      </x:c>
      <x:c r="G112" s="3" t="str">
        <x:v>29ffa8a00f8edaef8835b03d41a8fcbf8e4354ee870d8ff76fa93576c54cf298</x:v>
      </x:c>
      <x:c r="H112" s="3" t="str">
        <x:v>https://www.lge.co.kr/mkt/review/MD09144829/pdpReviewListPopup</x:v>
      </x:c>
    </x:row>
    <x:row r="113" ht="39" customHeight="1">
      <x:c r="A113" s="3" t="str">
        <x:v>fixed18</x:v>
      </x:c>
      <x:c r="B113" s="3" t="n">
        <x:v>108</x:v>
      </x:c>
      <x:c r="C113" s="3" t="str">
        <x:v>19349</x:v>
      </x:c>
      <x:c r="D113" s="3" t="str">
        <x:v>development</x:v>
      </x:c>
      <x:c r="E113" s="13" t="b">
        <x:v>0</x:v>
      </x:c>
      <x:c r="F113" s="3" t="str">
        <x:v>recommendation</x:v>
      </x:c>
      <x:c r="G113" s="3" t="str">
        <x:v>e22cc2028790b0f9e12543876ead8d6dc73975342649e6fd0b53f9b70de6dca9</x:v>
      </x:c>
      <x:c r="H113" s="3" t="str">
        <x:v>https://www.lge.co.kr/mkt/review/MD09144829/pdpReviewListPopup</x:v>
      </x:c>
    </x:row>
    <x:row r="114" ht="39" customHeight="1">
      <x:c r="A114" s="3" t="str">
        <x:v>fixed18</x:v>
      </x:c>
      <x:c r="B114" s="3" t="n">
        <x:v>109</x:v>
      </x:c>
      <x:c r="C114" s="3" t="str">
        <x:v>673773</x:v>
      </x:c>
      <x:c r="D114" s="3" t="str">
        <x:v>independent_evaluation</x:v>
      </x:c>
      <x:c r="E114" s="13" t="b">
        <x:v>0</x:v>
      </x:c>
      <x:c r="F114" s="3" t="str">
        <x:v>recommendation</x:v>
      </x:c>
      <x:c r="G114" s="3" t="str">
        <x:v>033ec7dcf9e03e47c0c163d86c8cc1e0b2614f9f91146dd4283795e2535edc3a</x:v>
      </x:c>
      <x:c r="H114" s="3" t="str">
        <x:v>https://www.lge.co.kr/mkt/review/MD10739828/pdpReviewListPopup</x:v>
      </x:c>
    </x:row>
    <x:row r="115" ht="39" customHeight="1">
      <x:c r="A115" s="3" t="str">
        <x:v>fixed18</x:v>
      </x:c>
      <x:c r="B115" s="3" t="n">
        <x:v>110</x:v>
      </x:c>
      <x:c r="C115" s="3" t="str">
        <x:v>858029</x:v>
      </x:c>
      <x:c r="D115" s="3" t="str">
        <x:v>development</x:v>
      </x:c>
      <x:c r="E115" s="13" t="b">
        <x:v>0</x:v>
      </x:c>
      <x:c r="F115" s="3" t="str">
        <x:v>recommendation</x:v>
      </x:c>
      <x:c r="G115" s="3" t="str">
        <x:v>13a8c4d493e3d7d9e76b2c339ba41be4320dad4ba4576ee0ac7c1406c7e5689d</x:v>
      </x:c>
      <x:c r="H115" s="3" t="str">
        <x:v>https://www.lge.co.kr/mkt/review/MD10739828/pdpReviewListPopup</x:v>
      </x:c>
    </x:row>
    <x:row r="116" ht="39" customHeight="1">
      <x:c r="A116" s="3" t="str">
        <x:v>fixed18</x:v>
      </x:c>
      <x:c r="B116" s="3" t="n">
        <x:v>111</x:v>
      </x:c>
      <x:c r="C116" s="3" t="str">
        <x:v>853726</x:v>
      </x:c>
      <x:c r="D116" s="3" t="str">
        <x:v>development</x:v>
      </x:c>
      <x:c r="E116" s="13" t="b">
        <x:v>0</x:v>
      </x:c>
      <x:c r="F116" s="3" t="str">
        <x:v>recommendation</x:v>
      </x:c>
      <x:c r="G116" s="3" t="str">
        <x:v>5b4640aa65831aab2d3cb84ea2fd572103a8a10b4e326ec92b56b0625bb515b0</x:v>
      </x:c>
      <x:c r="H116" s="3" t="str">
        <x:v>https://www.lge.co.kr/mkt/review/MD10739828/pdpReviewListPopup</x:v>
      </x:c>
    </x:row>
    <x:row r="117" ht="39" customHeight="1">
      <x:c r="A117" s="3" t="str">
        <x:v>fixed18</x:v>
      </x:c>
      <x:c r="B117" s="3" t="n">
        <x:v>112</x:v>
      </x:c>
      <x:c r="C117" s="3" t="str">
        <x:v>853556</x:v>
      </x:c>
      <x:c r="D117" s="3" t="str">
        <x:v>development</x:v>
      </x:c>
      <x:c r="E117" s="13" t="b">
        <x:v>0</x:v>
      </x:c>
      <x:c r="F117" s="3" t="str">
        <x:v>recommendation</x:v>
      </x:c>
      <x:c r="G117" s="3" t="str">
        <x:v>17646581f9cc320e4f24667b38bd5cff882cea9d0f3397fa6711dd913f5503bd</x:v>
      </x:c>
      <x:c r="H117" s="3" t="str">
        <x:v>https://www.lge.co.kr/mkt/review/MD10739828/pdpReviewListPopup</x:v>
      </x:c>
    </x:row>
    <x:row r="118" ht="39" customHeight="1">
      <x:c r="A118" s="3" t="str">
        <x:v>fixed18</x:v>
      </x:c>
      <x:c r="B118" s="3" t="n">
        <x:v>113</x:v>
      </x:c>
      <x:c r="C118" s="3" t="str">
        <x:v>852111</x:v>
      </x:c>
      <x:c r="D118" s="3" t="str">
        <x:v>independent_evaluation</x:v>
      </x:c>
      <x:c r="E118" s="13" t="b">
        <x:v>0</x:v>
      </x:c>
      <x:c r="F118" s="3" t="str">
        <x:v>recommendation</x:v>
      </x:c>
      <x:c r="G118" s="3" t="str">
        <x:v>5d31b690977c06f5cf4d4988d4d3fb85e2bed48cbda98ca3eb761dabe1a1e4a2</x:v>
      </x:c>
      <x:c r="H118" s="3" t="str">
        <x:v>https://www.lge.co.kr/mkt/review/MD10739828/pdpReviewListPopup</x:v>
      </x:c>
    </x:row>
    <x:row r="119" ht="39" customHeight="1">
      <x:c r="A119" s="3" t="str">
        <x:v>fixed18</x:v>
      </x:c>
      <x:c r="B119" s="3" t="n">
        <x:v>114</x:v>
      </x:c>
      <x:c r="C119" s="3" t="str">
        <x:v>850388</x:v>
      </x:c>
      <x:c r="D119" s="3" t="str">
        <x:v>development</x:v>
      </x:c>
      <x:c r="E119" s="13" t="b">
        <x:v>0</x:v>
      </x:c>
      <x:c r="F119" s="3" t="str">
        <x:v>recommendation</x:v>
      </x:c>
      <x:c r="G119" s="3" t="str">
        <x:v>dd6b685f67ef99f73500f17eebcb9904174925d907c74d481ed1d4a0ff25accc</x:v>
      </x:c>
      <x:c r="H119" s="3" t="str">
        <x:v>https://www.lge.co.kr/mkt/review/MD10739828/pdpReviewListPopup</x:v>
      </x:c>
    </x:row>
    <x:row r="120" ht="39" customHeight="1">
      <x:c r="A120" s="3" t="str">
        <x:v>fixed18</x:v>
      </x:c>
      <x:c r="B120" s="3" t="n">
        <x:v>115</x:v>
      </x:c>
      <x:c r="C120" s="3" t="str">
        <x:v>850204</x:v>
      </x:c>
      <x:c r="D120" s="3" t="str">
        <x:v>demonstration</x:v>
      </x:c>
      <x:c r="E120" s="13" t="b">
        <x:v>0</x:v>
      </x:c>
      <x:c r="F120" s="3" t="str">
        <x:v>recommendation</x:v>
      </x:c>
      <x:c r="G120" s="3" t="str">
        <x:v>1f53ac62a8cd7ebb613d20ce38fb3459afa78f709885330be143692773f2bdaf</x:v>
      </x:c>
      <x:c r="H120" s="3" t="str">
        <x:v>https://www.lge.co.kr/mkt/review/MD10739828/pdpReviewListPopup</x:v>
      </x:c>
    </x:row>
    <x:row r="121" ht="39" customHeight="1">
      <x:c r="A121" s="3" t="str">
        <x:v>fixed18</x:v>
      </x:c>
      <x:c r="B121" s="3" t="n">
        <x:v>116</x:v>
      </x:c>
      <x:c r="C121" s="3" t="str">
        <x:v>840799</x:v>
      </x:c>
      <x:c r="D121" s="3" t="str">
        <x:v>development</x:v>
      </x:c>
      <x:c r="E121" s="13" t="b">
        <x:v>0</x:v>
      </x:c>
      <x:c r="F121" s="3" t="str">
        <x:v>recommendation</x:v>
      </x:c>
      <x:c r="G121" s="3" t="str">
        <x:v>b4992596199f9f41fd7108b1ed5bd099e29bdd255d9e5884aa31d9b837a27cee</x:v>
      </x:c>
      <x:c r="H121" s="3" t="str">
        <x:v>https://www.lge.co.kr/mkt/review/MD10739828/pdpReviewListPopup</x:v>
      </x:c>
    </x:row>
    <x:row r="122" ht="39" customHeight="1">
      <x:c r="A122" s="3" t="str">
        <x:v>fixed18</x:v>
      </x:c>
      <x:c r="B122" s="3" t="n">
        <x:v>117</x:v>
      </x:c>
      <x:c r="C122" s="3" t="str">
        <x:v>838130</x:v>
      </x:c>
      <x:c r="D122" s="3" t="str">
        <x:v>demonstration</x:v>
      </x:c>
      <x:c r="E122" s="13" t="b">
        <x:v>0</x:v>
      </x:c>
      <x:c r="F122" s="3" t="str">
        <x:v>recommendation</x:v>
      </x:c>
      <x:c r="G122" s="3" t="str">
        <x:v>c0ff1849b79fe0b8c2d0a0e9182dfb20b4f7788c0c50200c97b033516949df86</x:v>
      </x:c>
      <x:c r="H122" s="3" t="str">
        <x:v>https://www.lge.co.kr/mkt/review/MD10739828/pdpReviewListPopup</x:v>
      </x:c>
    </x:row>
    <x:row r="123" ht="39" customHeight="1">
      <x:c r="A123" s="3" t="str">
        <x:v>fixed18</x:v>
      </x:c>
      <x:c r="B123" s="3" t="n">
        <x:v>118</x:v>
      </x:c>
      <x:c r="C123" s="3" t="str">
        <x:v>819828</x:v>
      </x:c>
      <x:c r="D123" s="3" t="str">
        <x:v>demonstration</x:v>
      </x:c>
      <x:c r="E123" s="13" t="b">
        <x:v>0</x:v>
      </x:c>
      <x:c r="F123" s="3" t="str">
        <x:v>recommendation</x:v>
      </x:c>
      <x:c r="G123" s="3" t="str">
        <x:v>9ecf6c76d53163af3222ebeedd2983ca4c0de6312fe6df4db23dc8412d3ca432</x:v>
      </x:c>
      <x:c r="H123" s="3" t="str">
        <x:v>https://www.lge.co.kr/mkt/review/MD10739828/pdpReviewListPopup</x:v>
      </x:c>
    </x:row>
    <x:row r="124" ht="39" customHeight="1">
      <x:c r="A124" s="3" t="str">
        <x:v>fixed18</x:v>
      </x:c>
      <x:c r="B124" s="3" t="n">
        <x:v>119</x:v>
      </x:c>
      <x:c r="C124" s="3" t="str">
        <x:v>855426</x:v>
      </x:c>
      <x:c r="D124" s="3" t="str">
        <x:v>independent_evaluation</x:v>
      </x:c>
      <x:c r="E124" s="13" t="b">
        <x:v>0</x:v>
      </x:c>
      <x:c r="F124" s="3" t="str">
        <x:v>recommendation</x:v>
      </x:c>
      <x:c r="G124" s="3" t="str">
        <x:v>4ea4df1315900e84fbe88c34232fa0804cc6cf6a470e671ba179826cda725ea2</x:v>
      </x:c>
      <x:c r="H124" s="3" t="str">
        <x:v>https://www.lge.co.kr/mkt/review/MD10492836/pdpReviewListPopup</x:v>
      </x:c>
    </x:row>
    <x:row r="125" ht="39" customHeight="1">
      <x:c r="A125" s="3" t="str">
        <x:v>fixed18</x:v>
      </x:c>
      <x:c r="B125" s="3" t="n">
        <x:v>120</x:v>
      </x:c>
      <x:c r="C125" s="3" t="str">
        <x:v>800398</x:v>
      </x:c>
      <x:c r="D125" s="3" t="str">
        <x:v>quarantine</x:v>
      </x:c>
      <x:c r="E125" s="13" t="b">
        <x:v>0</x:v>
      </x:c>
      <x:c r="F125" s="3" t="str">
        <x:v>recommendation</x:v>
      </x:c>
      <x:c r="G125" s="3" t="str">
        <x:v>a3aa3cf6e4e9f33c523ceb558235c31518b6ab429e9470404797dc837e969279</x:v>
      </x:c>
      <x:c r="H125" s="3" t="str">
        <x:v>https://www.lge.co.kr/mkt/review/MD10492836/pdpReviewListPopup</x:v>
      </x:c>
    </x:row>
    <x:row r="126" ht="39" customHeight="1">
      <x:c r="A126" s="3" t="str">
        <x:v>fixed18</x:v>
      </x:c>
      <x:c r="B126" s="3" t="n">
        <x:v>121</x:v>
      </x:c>
      <x:c r="C126" s="3" t="str">
        <x:v>776453</x:v>
      </x:c>
      <x:c r="D126" s="3" t="str">
        <x:v>demonstration</x:v>
      </x:c>
      <x:c r="E126" s="13" t="b">
        <x:v>0</x:v>
      </x:c>
      <x:c r="F126" s="3" t="str">
        <x:v>recommendation</x:v>
      </x:c>
      <x:c r="G126" s="3" t="str">
        <x:v>f69e27cca38b6a92faa6ca513b278af8019d251b54cd227f9ee5a6283945b155</x:v>
      </x:c>
      <x:c r="H126" s="3" t="str">
        <x:v>https://www.lge.co.kr/mkt/review/MD10492836/pdpReviewListPopup</x:v>
      </x:c>
    </x:row>
    <x:row r="127" ht="39" customHeight="1">
      <x:c r="A127" s="3" t="str">
        <x:v>fixed18</x:v>
      </x:c>
      <x:c r="B127" s="3" t="n">
        <x:v>122</x:v>
      </x:c>
      <x:c r="C127" s="3" t="str">
        <x:v>773921</x:v>
      </x:c>
      <x:c r="D127" s="3" t="str">
        <x:v>independent_evaluation</x:v>
      </x:c>
      <x:c r="E127" s="13" t="b">
        <x:v>0</x:v>
      </x:c>
      <x:c r="F127" s="3" t="str">
        <x:v>recommendation</x:v>
      </x:c>
      <x:c r="G127" s="3" t="str">
        <x:v>5e4241c7f2a7acfc6cafe08107533d4b35faec3b35b23cb711ed752306ae0f6a</x:v>
      </x:c>
      <x:c r="H127" s="3" t="str">
        <x:v>https://www.lge.co.kr/mkt/review/MD10492836/pdpReviewListPopup</x:v>
      </x:c>
    </x:row>
    <x:row r="128" ht="39" customHeight="1">
      <x:c r="A128" s="3" t="str">
        <x:v>fixed18</x:v>
      </x:c>
      <x:c r="B128" s="3" t="n">
        <x:v>123</x:v>
      </x:c>
      <x:c r="C128" s="3" t="str">
        <x:v>767844</x:v>
      </x:c>
      <x:c r="D128" s="3" t="str">
        <x:v>development</x:v>
      </x:c>
      <x:c r="E128" s="13" t="b">
        <x:v>0</x:v>
      </x:c>
      <x:c r="F128" s="3" t="str">
        <x:v>recommendation</x:v>
      </x:c>
      <x:c r="G128" s="3" t="str">
        <x:v>b3bb2a74cb41fda9eea6d49add53765facee570c1a6f6a68b2f9072edab2ca4f</x:v>
      </x:c>
      <x:c r="H128" s="3" t="str">
        <x:v>https://www.lge.co.kr/mkt/review/MD10492836/pdpReviewListPopup</x:v>
      </x:c>
    </x:row>
    <x:row r="129" ht="39" customHeight="1">
      <x:c r="A129" s="3" t="str">
        <x:v>fixed18</x:v>
      </x:c>
      <x:c r="B129" s="3" t="n">
        <x:v>124</x:v>
      </x:c>
      <x:c r="C129" s="3" t="str">
        <x:v>691193</x:v>
      </x:c>
      <x:c r="D129" s="3" t="str">
        <x:v>development</x:v>
      </x:c>
      <x:c r="E129" s="13" t="b">
        <x:v>0</x:v>
      </x:c>
      <x:c r="F129" s="3" t="str">
        <x:v>recommendation</x:v>
      </x:c>
      <x:c r="G129" s="3" t="str">
        <x:v>ad8fc9aeef37f437bee114364ef5b35fc3c5bd57299721a2a5f198aaa6e6b355</x:v>
      </x:c>
      <x:c r="H129" s="3" t="str">
        <x:v>https://www.lge.co.kr/mkt/review/MD10492836/pdpReviewListPopup</x:v>
      </x:c>
    </x:row>
    <x:row r="130" ht="39" customHeight="1">
      <x:c r="A130" s="3" t="str">
        <x:v>fixed18</x:v>
      </x:c>
      <x:c r="B130" s="3" t="n">
        <x:v>125</x:v>
      </x:c>
      <x:c r="C130" s="3" t="str">
        <x:v>603892</x:v>
      </x:c>
      <x:c r="D130" s="3" t="str">
        <x:v>demonstration</x:v>
      </x:c>
      <x:c r="E130" s="13" t="b">
        <x:v>0</x:v>
      </x:c>
      <x:c r="F130" s="3" t="str">
        <x:v>recommendation</x:v>
      </x:c>
      <x:c r="G130" s="3" t="str">
        <x:v>7cd3086dfadac1e753522c4e49a8c281bf204a862068d1b1d06186348e62d410</x:v>
      </x:c>
      <x:c r="H130" s="3" t="str">
        <x:v>https://www.lge.co.kr/mkt/review/MD10492836/pdpReviewListPopup</x:v>
      </x:c>
    </x:row>
    <x:row r="131" ht="39" customHeight="1">
      <x:c r="A131" s="3" t="str">
        <x:v>fixed18</x:v>
      </x:c>
      <x:c r="B131" s="3" t="n">
        <x:v>126</x:v>
      </x:c>
      <x:c r="C131" s="3" t="str">
        <x:v>599611</x:v>
      </x:c>
      <x:c r="D131" s="3" t="str">
        <x:v>independent_evaluation</x:v>
      </x:c>
      <x:c r="E131" s="13" t="b">
        <x:v>0</x:v>
      </x:c>
      <x:c r="F131" s="3" t="str">
        <x:v>recommendation</x:v>
      </x:c>
      <x:c r="G131" s="3" t="str">
        <x:v>c49a1114e4dce8ae55becf60c13380baea06e7e606b98dd78d648ef35276aaec</x:v>
      </x:c>
      <x:c r="H131" s="3" t="str">
        <x:v>https://www.lge.co.kr/mkt/review/MD10492836/pdpReviewListPopup</x:v>
      </x:c>
    </x:row>
    <x:row r="132" ht="39" customHeight="1">
      <x:c r="A132" s="3" t="str">
        <x:v>fixed18</x:v>
      </x:c>
      <x:c r="B132" s="3" t="n">
        <x:v>127</x:v>
      </x:c>
      <x:c r="C132" s="3" t="str">
        <x:v>543280</x:v>
      </x:c>
      <x:c r="D132" s="3" t="str">
        <x:v>development</x:v>
      </x:c>
      <x:c r="E132" s="13" t="b">
        <x:v>0</x:v>
      </x:c>
      <x:c r="F132" s="3" t="str">
        <x:v>recommendation</x:v>
      </x:c>
      <x:c r="G132" s="3" t="str">
        <x:v>e2f30d00f2d01c88fab980b9d49ec46a3e4ca06f25ec744fe54ed1c48158b425</x:v>
      </x:c>
      <x:c r="H132" s="3" t="str">
        <x:v>https://www.lge.co.kr/mkt/review/MD10492836/pdpReviewListPopup</x:v>
      </x:c>
    </x:row>
    <x:row r="133" ht="39" customHeight="1">
      <x:c r="A133" s="3" t="str">
        <x:v>fixed18</x:v>
      </x:c>
      <x:c r="B133" s="3" t="n">
        <x:v>128</x:v>
      </x:c>
      <x:c r="C133" s="3" t="str">
        <x:v>528042</x:v>
      </x:c>
      <x:c r="D133" s="3" t="str">
        <x:v>development</x:v>
      </x:c>
      <x:c r="E133" s="13" t="b">
        <x:v>0</x:v>
      </x:c>
      <x:c r="F133" s="3" t="str">
        <x:v>recommendation</x:v>
      </x:c>
      <x:c r="G133" s="3" t="str">
        <x:v>480c1f7edc76240a30f953fbc6a9eed5c7a0e3ddc5058d21c8392327625ce912</x:v>
      </x:c>
      <x:c r="H133" s="3" t="str">
        <x:v>https://www.lge.co.kr/mkt/review/MD10492836/pdpReviewListPopup</x:v>
      </x:c>
    </x:row>
    <x:row r="134" ht="39" customHeight="1">
      <x:c r="A134" s="3" t="str">
        <x:v>fixed18</x:v>
      </x:c>
      <x:c r="B134" s="3" t="n">
        <x:v>129</x:v>
      </x:c>
      <x:c r="C134" s="3" t="str">
        <x:v>860173</x:v>
      </x:c>
      <x:c r="D134" s="3" t="str">
        <x:v>demonstration</x:v>
      </x:c>
      <x:c r="E134" s="13" t="b">
        <x:v>0</x:v>
      </x:c>
      <x:c r="F134" s="3" t="str">
        <x:v>recommendation</x:v>
      </x:c>
      <x:c r="G134" s="3" t="str">
        <x:v>6e5d5984f222704b5b8a195e2847f15978b19d4a53925bcebaac26d057ebe142</x:v>
      </x:c>
      <x:c r="H134" s="3" t="str">
        <x:v>https://www.lge.co.kr/mkt/review/MD10804836/pdpReviewListPopup</x:v>
      </x:c>
    </x:row>
    <x:row r="135" ht="39" customHeight="1">
      <x:c r="A135" s="3" t="str">
        <x:v>fixed18</x:v>
      </x:c>
      <x:c r="B135" s="3" t="n">
        <x:v>130</x:v>
      </x:c>
      <x:c r="C135" s="3" t="str">
        <x:v>752307</x:v>
      </x:c>
      <x:c r="D135" s="3" t="str">
        <x:v>development</x:v>
      </x:c>
      <x:c r="E135" s="13" t="b">
        <x:v>0</x:v>
      </x:c>
      <x:c r="F135" s="3" t="str">
        <x:v>recommendation</x:v>
      </x:c>
      <x:c r="G135" s="3" t="str">
        <x:v>35e12e7e0a63ad61e17f5cc73c5fb68fafd96f8d2921b3b56af90f9274a80187</x:v>
      </x:c>
      <x:c r="H135" s="3" t="str">
        <x:v>https://www.lge.co.kr/mkt/review/MD10804836/pdpReviewListPopup</x:v>
      </x:c>
    </x:row>
    <x:row r="136" ht="39" customHeight="1">
      <x:c r="A136" s="3" t="str">
        <x:v>fixed18</x:v>
      </x:c>
      <x:c r="B136" s="3" t="n">
        <x:v>131</x:v>
      </x:c>
      <x:c r="C136" s="3" t="str">
        <x:v>860786</x:v>
      </x:c>
      <x:c r="D136" s="3" t="str">
        <x:v>development</x:v>
      </x:c>
      <x:c r="E136" s="13" t="b">
        <x:v>0</x:v>
      </x:c>
      <x:c r="F136" s="3" t="str">
        <x:v>recommendation</x:v>
      </x:c>
      <x:c r="G136" s="3" t="str">
        <x:v>91de6f022cf231822a77e43bb53271fb28a579cfd37e771cf9d2a15b6b35130a</x:v>
      </x:c>
      <x:c r="H136" s="3" t="str">
        <x:v>https://www.lge.co.kr/mkt/review/MD10804836/pdpReviewListPopup</x:v>
      </x:c>
    </x:row>
    <x:row r="137" ht="39" customHeight="1">
      <x:c r="A137" s="3" t="str">
        <x:v>fixed18</x:v>
      </x:c>
      <x:c r="B137" s="3" t="n">
        <x:v>132</x:v>
      </x:c>
      <x:c r="C137" s="3" t="str">
        <x:v>855346</x:v>
      </x:c>
      <x:c r="D137" s="3" t="str">
        <x:v>development</x:v>
      </x:c>
      <x:c r="E137" s="13" t="b">
        <x:v>0</x:v>
      </x:c>
      <x:c r="F137" s="3" t="str">
        <x:v>recommendation</x:v>
      </x:c>
      <x:c r="G137" s="3" t="str">
        <x:v>a32e9127d285755e4f587331168f6fe41e033979d198e2ba035a11755a6dba38</x:v>
      </x:c>
      <x:c r="H137" s="3" t="str">
        <x:v>https://www.lge.co.kr/mkt/review/MD10804836/pdpReviewListPopup</x:v>
      </x:c>
    </x:row>
    <x:row r="138" ht="39" customHeight="1">
      <x:c r="A138" s="3" t="str">
        <x:v>fixed18</x:v>
      </x:c>
      <x:c r="B138" s="3" t="n">
        <x:v>133</x:v>
      </x:c>
      <x:c r="C138" s="3" t="str">
        <x:v>853593</x:v>
      </x:c>
      <x:c r="D138" s="3" t="str">
        <x:v>development</x:v>
      </x:c>
      <x:c r="E138" s="13" t="b">
        <x:v>0</x:v>
      </x:c>
      <x:c r="F138" s="3" t="str">
        <x:v>recommendation</x:v>
      </x:c>
      <x:c r="G138" s="3" t="str">
        <x:v>5b38c79373ca3ae7f67b3accb77b9c508d0a1df1259d9eaf33443fbf1544f647</x:v>
      </x:c>
      <x:c r="H138" s="3" t="str">
        <x:v>https://www.lge.co.kr/mkt/review/MD10804836/pdpReviewListPopup</x:v>
      </x:c>
    </x:row>
    <x:row r="139" ht="39" customHeight="1">
      <x:c r="A139" s="3" t="str">
        <x:v>fixed18</x:v>
      </x:c>
      <x:c r="B139" s="3" t="n">
        <x:v>134</x:v>
      </x:c>
      <x:c r="C139" s="3" t="str">
        <x:v>853388</x:v>
      </x:c>
      <x:c r="D139" s="3" t="str">
        <x:v>development</x:v>
      </x:c>
      <x:c r="E139" s="13" t="b">
        <x:v>0</x:v>
      </x:c>
      <x:c r="F139" s="3" t="str">
        <x:v>recommendation</x:v>
      </x:c>
      <x:c r="G139" s="3" t="str">
        <x:v>6ef35be63f8a1631d012fc14b1547ada62302bc0e331328c327c8a9e21c8e166</x:v>
      </x:c>
      <x:c r="H139" s="3" t="str">
        <x:v>https://www.lge.co.kr/mkt/review/MD10804836/pdpReviewListPopup</x:v>
      </x:c>
    </x:row>
    <x:row r="140" ht="39" customHeight="1">
      <x:c r="A140" s="3" t="str">
        <x:v>fixed18</x:v>
      </x:c>
      <x:c r="B140" s="3" t="n">
        <x:v>135</x:v>
      </x:c>
      <x:c r="C140" s="3" t="str">
        <x:v>853126</x:v>
      </x:c>
      <x:c r="D140" s="3" t="str">
        <x:v>independent_evaluation</x:v>
      </x:c>
      <x:c r="E140" s="13" t="b">
        <x:v>0</x:v>
      </x:c>
      <x:c r="F140" s="3" t="str">
        <x:v>recommendation</x:v>
      </x:c>
      <x:c r="G140" s="3" t="str">
        <x:v>abac0638c36f1216aaab72433a419f0d05eaf708fb9dc45348d7da4a8c385a47</x:v>
      </x:c>
      <x:c r="H140" s="3" t="str">
        <x:v>https://www.lge.co.kr/mkt/review/MD10804836/pdpReviewListPopup</x:v>
      </x:c>
    </x:row>
    <x:row r="141" ht="39" customHeight="1">
      <x:c r="A141" s="3" t="str">
        <x:v>fixed18</x:v>
      </x:c>
      <x:c r="B141" s="3" t="n">
        <x:v>136</x:v>
      </x:c>
      <x:c r="C141" s="3" t="str">
        <x:v>852495</x:v>
      </x:c>
      <x:c r="D141" s="3" t="str">
        <x:v>independent_evaluation</x:v>
      </x:c>
      <x:c r="E141" s="13" t="b">
        <x:v>0</x:v>
      </x:c>
      <x:c r="F141" s="3" t="str">
        <x:v>recommendation</x:v>
      </x:c>
      <x:c r="G141" s="3" t="str">
        <x:v>6dfc9e552f869d98478bd5915826367dc33f18e18e425ae8016f84dbb4b91e5b</x:v>
      </x:c>
      <x:c r="H141" s="3" t="str">
        <x:v>https://www.lge.co.kr/mkt/review/MD10804836/pdpReviewListPopup</x:v>
      </x:c>
    </x:row>
    <x:row r="142" ht="39" customHeight="1">
      <x:c r="A142" s="3" t="str">
        <x:v>fixed18</x:v>
      </x:c>
      <x:c r="B142" s="3" t="n">
        <x:v>137</x:v>
      </x:c>
      <x:c r="C142" s="3" t="str">
        <x:v>842723</x:v>
      </x:c>
      <x:c r="D142" s="3" t="str">
        <x:v>independent_evaluation</x:v>
      </x:c>
      <x:c r="E142" s="13" t="b">
        <x:v>0</x:v>
      </x:c>
      <x:c r="F142" s="3" t="str">
        <x:v>recommendation</x:v>
      </x:c>
      <x:c r="G142" s="3" t="str">
        <x:v>2885010323c91c8feea13106b74b306adb5227cc3107b298ce5033162e74e32a</x:v>
      </x:c>
      <x:c r="H142" s="3" t="str">
        <x:v>https://www.lge.co.kr/mkt/review/MD10804836/pdpReviewListPopup</x:v>
      </x:c>
    </x:row>
    <x:row r="143" ht="39" customHeight="1">
      <x:c r="A143" s="3" t="str">
        <x:v>fixed18</x:v>
      </x:c>
      <x:c r="B143" s="3" t="n">
        <x:v>138</x:v>
      </x:c>
      <x:c r="C143" s="3" t="str">
        <x:v>841140</x:v>
      </x:c>
      <x:c r="D143" s="3" t="str">
        <x:v>development</x:v>
      </x:c>
      <x:c r="E143" s="13" t="b">
        <x:v>0</x:v>
      </x:c>
      <x:c r="F143" s="3" t="str">
        <x:v>recommendation</x:v>
      </x:c>
      <x:c r="G143" s="3" t="str">
        <x:v>e312a864695516c25e4bc03f00c66a18f608e6ac9b55f73a7242ed6c71950e03</x:v>
      </x:c>
      <x:c r="H143" s="3" t="str">
        <x:v>https://www.lge.co.kr/mkt/review/MD10804836/pdpReviewListPopup</x:v>
      </x:c>
    </x:row>
    <x:row r="144" ht="39" customHeight="1">
      <x:c r="A144" s="3" t="str">
        <x:v>fixed18</x:v>
      </x:c>
      <x:c r="B144" s="3" t="n">
        <x:v>139</x:v>
      </x:c>
      <x:c r="C144" s="3" t="str">
        <x:v>708772</x:v>
      </x:c>
      <x:c r="D144" s="3" t="str">
        <x:v>development</x:v>
      </x:c>
      <x:c r="E144" s="13" t="b">
        <x:v>0</x:v>
      </x:c>
      <x:c r="F144" s="3" t="str">
        <x:v>recommendation</x:v>
      </x:c>
      <x:c r="G144" s="3" t="str">
        <x:v>be8704cc797ab0bccf6d2691c095284567393e3472c3bf8e1eac6da6f7b3cdb1</x:v>
      </x:c>
      <x:c r="H144" s="3" t="str">
        <x:v>https://www.lge.co.kr/mkt/review/MD10804837/pdpReviewListPopup</x:v>
      </x:c>
    </x:row>
    <x:row r="145" ht="39" customHeight="1">
      <x:c r="A145" s="3" t="str">
        <x:v>fixed18</x:v>
      </x:c>
      <x:c r="B145" s="3" t="n">
        <x:v>140</x:v>
      </x:c>
      <x:c r="C145" s="3" t="str">
        <x:v>859044</x:v>
      </x:c>
      <x:c r="D145" s="3" t="str">
        <x:v>development</x:v>
      </x:c>
      <x:c r="E145" s="13" t="b">
        <x:v>0</x:v>
      </x:c>
      <x:c r="F145" s="3" t="str">
        <x:v>recommendation</x:v>
      </x:c>
      <x:c r="G145" s="3" t="str">
        <x:v>a664d0122358449f4a1bdc294f1df8b108a3a57a8a27dff236e7a3caec55204f</x:v>
      </x:c>
      <x:c r="H145" s="3" t="str">
        <x:v>https://www.lge.co.kr/mkt/review/MD10804837/pdpReviewListPopup</x:v>
      </x:c>
    </x:row>
    <x:row r="146" ht="39" customHeight="1">
      <x:c r="A146" s="3" t="str">
        <x:v>fixed18</x:v>
      </x:c>
      <x:c r="B146" s="3" t="n">
        <x:v>141</x:v>
      </x:c>
      <x:c r="C146" s="3" t="str">
        <x:v>851023</x:v>
      </x:c>
      <x:c r="D146" s="3" t="str">
        <x:v>demonstration</x:v>
      </x:c>
      <x:c r="E146" s="13" t="b">
        <x:v>0</x:v>
      </x:c>
      <x:c r="F146" s="3" t="str">
        <x:v>recommendation</x:v>
      </x:c>
      <x:c r="G146" s="3" t="str">
        <x:v>8a2e77059d259effe052e614c3126ca3d6dd690df88b2f316c3172d1675c609b</x:v>
      </x:c>
      <x:c r="H146" s="3" t="str">
        <x:v>https://www.lge.co.kr/mkt/review/MD10804837/pdpReviewListPopup</x:v>
      </x:c>
    </x:row>
    <x:row r="147" ht="39" customHeight="1">
      <x:c r="A147" s="3" t="str">
        <x:v>fixed18</x:v>
      </x:c>
      <x:c r="B147" s="3" t="n">
        <x:v>142</x:v>
      </x:c>
      <x:c r="C147" s="3" t="str">
        <x:v>822948</x:v>
      </x:c>
      <x:c r="D147" s="3" t="str">
        <x:v>demonstration</x:v>
      </x:c>
      <x:c r="E147" s="13" t="b">
        <x:v>0</x:v>
      </x:c>
      <x:c r="F147" s="3" t="str">
        <x:v>recommendation</x:v>
      </x:c>
      <x:c r="G147" s="3" t="str">
        <x:v>5e9d7b3e9fbab310b770d71f9db6b8ef8ceabc8d47e67f546743b5b6c4eeb59f</x:v>
      </x:c>
      <x:c r="H147" s="3" t="str">
        <x:v>https://www.lge.co.kr/mkt/review/MD10804837/pdpReviewListPopup</x:v>
      </x:c>
    </x:row>
    <x:row r="148" ht="39" customHeight="1">
      <x:c r="A148" s="3" t="str">
        <x:v>fixed18</x:v>
      </x:c>
      <x:c r="B148" s="3" t="n">
        <x:v>143</x:v>
      </x:c>
      <x:c r="C148" s="3" t="str">
        <x:v>821887</x:v>
      </x:c>
      <x:c r="D148" s="3" t="str">
        <x:v>demonstration</x:v>
      </x:c>
      <x:c r="E148" s="13" t="b">
        <x:v>0</x:v>
      </x:c>
      <x:c r="F148" s="3" t="str">
        <x:v>recommendation</x:v>
      </x:c>
      <x:c r="G148" s="3" t="str">
        <x:v>74a5a379dbbda34cdaa50970375d86e40ac6000eb0134d0c0ab914e435f687a0</x:v>
      </x:c>
      <x:c r="H148" s="3" t="str">
        <x:v>https://www.lge.co.kr/mkt/review/MD10804837/pdpReviewListPopup</x:v>
      </x:c>
    </x:row>
    <x:row r="149" ht="39" customHeight="1">
      <x:c r="A149" s="3" t="str">
        <x:v>fixed18</x:v>
      </x:c>
      <x:c r="B149" s="3" t="n">
        <x:v>144</x:v>
      </x:c>
      <x:c r="C149" s="3" t="str">
        <x:v>819036</x:v>
      </x:c>
      <x:c r="D149" s="3" t="str">
        <x:v>development</x:v>
      </x:c>
      <x:c r="E149" s="13" t="b">
        <x:v>0</x:v>
      </x:c>
      <x:c r="F149" s="3" t="str">
        <x:v>recommendation</x:v>
      </x:c>
      <x:c r="G149" s="3" t="str">
        <x:v>929199de787f4c5da4dd2a06b2048d4b7515759081b7d2ab13eff14bfd03db45</x:v>
      </x:c>
      <x:c r="H149" s="3" t="str">
        <x:v>https://www.lge.co.kr/mkt/review/MD10804837/pdpReviewListPopup</x:v>
      </x:c>
    </x:row>
    <x:row r="150" ht="39" customHeight="1">
      <x:c r="A150" s="3" t="str">
        <x:v>fixed18</x:v>
      </x:c>
      <x:c r="B150" s="3" t="n">
        <x:v>145</x:v>
      </x:c>
      <x:c r="C150" s="3" t="str">
        <x:v>815878</x:v>
      </x:c>
      <x:c r="D150" s="3" t="str">
        <x:v>development</x:v>
      </x:c>
      <x:c r="E150" s="13" t="b">
        <x:v>0</x:v>
      </x:c>
      <x:c r="F150" s="3" t="str">
        <x:v>recommendation</x:v>
      </x:c>
      <x:c r="G150" s="3" t="str">
        <x:v>b2ac74c03bc240671495e76f902885abb5496c8e359d90b169c0d39b5ca1047a</x:v>
      </x:c>
      <x:c r="H150" s="3" t="str">
        <x:v>https://www.lge.co.kr/mkt/review/MD10804837/pdpReviewListPopup</x:v>
      </x:c>
    </x:row>
    <x:row r="151" ht="39" customHeight="1">
      <x:c r="A151" s="3" t="str">
        <x:v>fixed18</x:v>
      </x:c>
      <x:c r="B151" s="3" t="n">
        <x:v>146</x:v>
      </x:c>
      <x:c r="C151" s="3" t="str">
        <x:v>807279</x:v>
      </x:c>
      <x:c r="D151" s="3" t="str">
        <x:v>independent_evaluation</x:v>
      </x:c>
      <x:c r="E151" s="13" t="b">
        <x:v>0</x:v>
      </x:c>
      <x:c r="F151" s="3" t="str">
        <x:v>recommendation</x:v>
      </x:c>
      <x:c r="G151" s="3" t="str">
        <x:v>49ced5252acb7376799f9b2162e297722a55e803611c346bc4e4cea4b734b981</x:v>
      </x:c>
      <x:c r="H151" s="3" t="str">
        <x:v>https://www.lge.co.kr/mkt/review/MD10804837/pdpReviewListPopup</x:v>
      </x:c>
    </x:row>
    <x:row r="152" ht="39" customHeight="1">
      <x:c r="A152" s="3" t="str">
        <x:v>fixed18</x:v>
      </x:c>
      <x:c r="B152" s="3" t="n">
        <x:v>147</x:v>
      </x:c>
      <x:c r="C152" s="3" t="str">
        <x:v>802937</x:v>
      </x:c>
      <x:c r="D152" s="3" t="str">
        <x:v>development</x:v>
      </x:c>
      <x:c r="E152" s="13" t="b">
        <x:v>0</x:v>
      </x:c>
      <x:c r="F152" s="3" t="str">
        <x:v>recommendation</x:v>
      </x:c>
      <x:c r="G152" s="3" t="str">
        <x:v>e195764c6ab47e4dd65322f64a8b78ea7f38b3cf8d1636b9c8e8005bbb4547dd</x:v>
      </x:c>
      <x:c r="H152" s="3" t="str">
        <x:v>https://www.lge.co.kr/mkt/review/MD10804837/pdpReviewListPopup</x:v>
      </x:c>
    </x:row>
    <x:row r="153" ht="39" customHeight="1">
      <x:c r="A153" s="3" t="str">
        <x:v>fixed18</x:v>
      </x:c>
      <x:c r="B153" s="3" t="n">
        <x:v>148</x:v>
      </x:c>
      <x:c r="C153" s="3" t="str">
        <x:v>801212</x:v>
      </x:c>
      <x:c r="D153" s="3" t="str">
        <x:v>demonstration</x:v>
      </x:c>
      <x:c r="E153" s="13" t="b">
        <x:v>0</x:v>
      </x:c>
      <x:c r="F153" s="3" t="str">
        <x:v>recommendation</x:v>
      </x:c>
      <x:c r="G153" s="3" t="str">
        <x:v>3ce54a6f85920c9a316ab368adffdf45e575d648eda7a4a1a52ed28b277c2fe8</x:v>
      </x:c>
      <x:c r="H153" s="3" t="str">
        <x:v>https://www.lge.co.kr/mkt/review/MD10804837/pdpReviewListPopup</x:v>
      </x:c>
    </x:row>
    <x:row r="154" ht="39" customHeight="1">
      <x:c r="A154" s="3" t="str">
        <x:v>fixed18</x:v>
      </x:c>
      <x:c r="B154" s="3" t="n">
        <x:v>149</x:v>
      </x:c>
      <x:c r="C154" s="3" t="str">
        <x:v>846355</x:v>
      </x:c>
      <x:c r="D154" s="3" t="str">
        <x:v>independent_evaluation</x:v>
      </x:c>
      <x:c r="E154" s="13" t="b">
        <x:v>0</x:v>
      </x:c>
      <x:c r="F154" s="3" t="str">
        <x:v>recommendation</x:v>
      </x:c>
      <x:c r="G154" s="3" t="str">
        <x:v>6dd707a3b192c3d63b169073758576b522f4faf685961a06f3ca9cc327656736</x:v>
      </x:c>
      <x:c r="H154" s="3" t="str">
        <x:v>https://www.lge.co.kr/mkt/review/MD10492841/pdpReviewListPopup</x:v>
      </x:c>
    </x:row>
    <x:row r="155" ht="39" customHeight="1">
      <x:c r="A155" s="3" t="str">
        <x:v>fixed18</x:v>
      </x:c>
      <x:c r="B155" s="3" t="n">
        <x:v>150</x:v>
      </x:c>
      <x:c r="C155" s="3" t="str">
        <x:v>844376</x:v>
      </x:c>
      <x:c r="D155" s="3" t="str">
        <x:v>development</x:v>
      </x:c>
      <x:c r="E155" s="13" t="b">
        <x:v>0</x:v>
      </x:c>
      <x:c r="F155" s="3" t="str">
        <x:v>recommendation</x:v>
      </x:c>
      <x:c r="G155" s="3" t="str">
        <x:v>853004470379dd98ef4099b6ce6e9fcf23332677f3e28e1bbc3f6060deb38733</x:v>
      </x:c>
      <x:c r="H155" s="3" t="str">
        <x:v>https://www.lge.co.kr/mkt/review/MD10492841/pdpReviewListPopup</x:v>
      </x:c>
    </x:row>
    <x:row r="156" ht="39" customHeight="1">
      <x:c r="A156" s="3" t="str">
        <x:v>fixed18</x:v>
      </x:c>
      <x:c r="B156" s="3" t="n">
        <x:v>151</x:v>
      </x:c>
      <x:c r="C156" s="3" t="str">
        <x:v>517994</x:v>
      </x:c>
      <x:c r="D156" s="3" t="str">
        <x:v>development</x:v>
      </x:c>
      <x:c r="E156" s="13" t="b">
        <x:v>0</x:v>
      </x:c>
      <x:c r="F156" s="3" t="str">
        <x:v>recommendation</x:v>
      </x:c>
      <x:c r="G156" s="3" t="str">
        <x:v>fcac9612deaa14b8400f2877bbf4790af9ddeeca1c6605988a94676208da322d</x:v>
      </x:c>
      <x:c r="H156" s="3" t="str">
        <x:v>https://www.lge.co.kr/mkt/review/MD10492841/pdpReviewListPopup</x:v>
      </x:c>
    </x:row>
    <x:row r="157" ht="39" customHeight="1">
      <x:c r="A157" s="3" t="str">
        <x:v>fixed18</x:v>
      </x:c>
      <x:c r="B157" s="3" t="n">
        <x:v>152</x:v>
      </x:c>
      <x:c r="C157" s="3" t="str">
        <x:v>438414</x:v>
      </x:c>
      <x:c r="D157" s="3" t="str">
        <x:v>demonstration</x:v>
      </x:c>
      <x:c r="E157" s="13" t="b">
        <x:v>0</x:v>
      </x:c>
      <x:c r="F157" s="3" t="str">
        <x:v>recommendation</x:v>
      </x:c>
      <x:c r="G157" s="3" t="str">
        <x:v>8c189395047ca6f13d1ab53736de3f9b6ffbb26efde61fed4e62db07825c9216</x:v>
      </x:c>
      <x:c r="H157" s="3" t="str">
        <x:v>https://www.lge.co.kr/mkt/review/MD10492841/pdpReviewListPopup</x:v>
      </x:c>
    </x:row>
    <x:row r="158" ht="39" customHeight="1">
      <x:c r="A158" s="3" t="str">
        <x:v>fixed18</x:v>
      </x:c>
      <x:c r="B158" s="3" t="n">
        <x:v>153</x:v>
      </x:c>
      <x:c r="C158" s="3" t="str">
        <x:v>358655</x:v>
      </x:c>
      <x:c r="D158" s="3" t="str">
        <x:v>development</x:v>
      </x:c>
      <x:c r="E158" s="13" t="b">
        <x:v>0</x:v>
      </x:c>
      <x:c r="F158" s="3" t="str">
        <x:v>recommendation</x:v>
      </x:c>
      <x:c r="G158" s="3" t="str">
        <x:v>5f73eae76c29052794f2f4878ee39cf3e0aa6153b0f0344a6dd924ce73f16280</x:v>
      </x:c>
      <x:c r="H158" s="3" t="str">
        <x:v>https://www.lge.co.kr/mkt/review/MD10492841/pdpReviewListPopup</x:v>
      </x:c>
    </x:row>
    <x:row r="159" ht="39" customHeight="1">
      <x:c r="A159" s="3" t="str">
        <x:v>fixed18</x:v>
      </x:c>
      <x:c r="B159" s="3" t="n">
        <x:v>154</x:v>
      </x:c>
      <x:c r="C159" s="3" t="str">
        <x:v>297423</x:v>
      </x:c>
      <x:c r="D159" s="3" t="str">
        <x:v>development</x:v>
      </x:c>
      <x:c r="E159" s="13" t="b">
        <x:v>0</x:v>
      </x:c>
      <x:c r="F159" s="3" t="str">
        <x:v>recommendation</x:v>
      </x:c>
      <x:c r="G159" s="3" t="str">
        <x:v>da8bb3e49a599fbd31d3cea95c445c6bdef981aafb86374cff0520953d70cf0b</x:v>
      </x:c>
      <x:c r="H159" s="3" t="str">
        <x:v>https://www.lge.co.kr/mkt/review/MD10492841/pdpReviewListPopup</x:v>
      </x:c>
    </x:row>
    <x:row r="160" ht="39" customHeight="1">
      <x:c r="A160" s="3" t="str">
        <x:v>fixed18</x:v>
      </x:c>
      <x:c r="B160" s="3" t="n">
        <x:v>155</x:v>
      </x:c>
      <x:c r="C160" s="3" t="str">
        <x:v>782352</x:v>
      </x:c>
      <x:c r="D160" s="3" t="str">
        <x:v>development</x:v>
      </x:c>
      <x:c r="E160" s="13" t="b">
        <x:v>0</x:v>
      </x:c>
      <x:c r="F160" s="3" t="str">
        <x:v>recommendation</x:v>
      </x:c>
      <x:c r="G160" s="3" t="str">
        <x:v>f61869fa510f3dd5dd1b8bc84c07407ed1d100dfdfa1575fa4dcccd04f756f63</x:v>
      </x:c>
      <x:c r="H160" s="3" t="str">
        <x:v>https://www.lge.co.kr/mkt/review/MD10492841/pdpReviewListPopup</x:v>
      </x:c>
    </x:row>
    <x:row r="161" ht="39" customHeight="1">
      <x:c r="A161" s="3" t="str">
        <x:v>fixed18</x:v>
      </x:c>
      <x:c r="B161" s="3" t="n">
        <x:v>156</x:v>
      </x:c>
      <x:c r="C161" s="3" t="str">
        <x:v>623923</x:v>
      </x:c>
      <x:c r="D161" s="3" t="str">
        <x:v>development</x:v>
      </x:c>
      <x:c r="E161" s="13" t="b">
        <x:v>0</x:v>
      </x:c>
      <x:c r="F161" s="3" t="str">
        <x:v>recommendation</x:v>
      </x:c>
      <x:c r="G161" s="3" t="str">
        <x:v>f6b4c59378058417e897d9fd66f596aef9020fcae15f072a7c5bbbe6df653c74</x:v>
      </x:c>
      <x:c r="H161" s="3" t="str">
        <x:v>https://www.lge.co.kr/mkt/review/MD10492841/pdpReviewListPopup</x:v>
      </x:c>
    </x:row>
    <x:row r="162" ht="39" customHeight="1">
      <x:c r="A162" s="3" t="str">
        <x:v>fixed18</x:v>
      </x:c>
      <x:c r="B162" s="3" t="n">
        <x:v>157</x:v>
      </x:c>
      <x:c r="C162" s="3" t="str">
        <x:v>379735</x:v>
      </x:c>
      <x:c r="D162" s="3" t="str">
        <x:v>development</x:v>
      </x:c>
      <x:c r="E162" s="13" t="b">
        <x:v>0</x:v>
      </x:c>
      <x:c r="F162" s="3" t="str">
        <x:v>recommendation</x:v>
      </x:c>
      <x:c r="G162" s="3" t="str">
        <x:v>572d48fd15d935d8fcdd8d3de9d80d266bd40da194c1a6a6cc87ac039ac5a082</x:v>
      </x:c>
      <x:c r="H162" s="3" t="str">
        <x:v>https://www.lge.co.kr/mkt/review/MD10492841/pdpReviewListPopup</x:v>
      </x:c>
    </x:row>
    <x:row r="163" ht="39" customHeight="1">
      <x:c r="A163" s="3" t="str">
        <x:v>fixed18</x:v>
      </x:c>
      <x:c r="B163" s="3" t="n">
        <x:v>158</x:v>
      </x:c>
      <x:c r="C163" s="3" t="str">
        <x:v>861419</x:v>
      </x:c>
      <x:c r="D163" s="3" t="str">
        <x:v>demonstration</x:v>
      </x:c>
      <x:c r="E163" s="13" t="b">
        <x:v>0</x:v>
      </x:c>
      <x:c r="F163" s="3" t="str">
        <x:v>recommendation</x:v>
      </x:c>
      <x:c r="G163" s="3" t="str">
        <x:v>f3fe2669e149794067875ab138cb940e8410d1d2580bc21d54faf44db67d665a</x:v>
      </x:c>
      <x:c r="H163" s="3" t="str">
        <x:v>https://www.lge.co.kr/mkt/review/MD10492841/pdpReviewListPopup</x:v>
      </x:c>
    </x:row>
    <x:row r="164" ht="39" customHeight="1">
      <x:c r="A164" s="3" t="str">
        <x:v>fixed18</x:v>
      </x:c>
      <x:c r="B164" s="3" t="n">
        <x:v>159</x:v>
      </x:c>
      <x:c r="C164" s="3" t="str">
        <x:v>679166</x:v>
      </x:c>
      <x:c r="D164" s="3" t="str">
        <x:v>development</x:v>
      </x:c>
      <x:c r="E164" s="13" t="b">
        <x:v>0</x:v>
      </x:c>
      <x:c r="F164" s="3" t="str">
        <x:v>recommendation</x:v>
      </x:c>
      <x:c r="G164" s="3" t="str">
        <x:v>9126385ee591b0e6ed3d0e8d3020c07ac45ab67812c82ed0407b96c293d7ae88</x:v>
      </x:c>
      <x:c r="H164" s="3" t="str">
        <x:v>https://www.lge.co.kr/mkt/review/MD10492839/pdpReviewListPopup</x:v>
      </x:c>
    </x:row>
    <x:row r="165" ht="39" customHeight="1">
      <x:c r="A165" s="3" t="str">
        <x:v>fixed18</x:v>
      </x:c>
      <x:c r="B165" s="3" t="n">
        <x:v>160</x:v>
      </x:c>
      <x:c r="C165" s="3" t="str">
        <x:v>676298</x:v>
      </x:c>
      <x:c r="D165" s="3" t="str">
        <x:v>development</x:v>
      </x:c>
      <x:c r="E165" s="13" t="b">
        <x:v>0</x:v>
      </x:c>
      <x:c r="F165" s="3" t="str">
        <x:v>recommendation</x:v>
      </x:c>
      <x:c r="G165" s="3" t="str">
        <x:v>531fa801837240d1286006784fc72ed72225a08a10d0c6c9ff8bcec70311f94b</x:v>
      </x:c>
      <x:c r="H165" s="3" t="str">
        <x:v>https://www.lge.co.kr/mkt/review/MD10492839/pdpReviewListPopup</x:v>
      </x:c>
    </x:row>
    <x:row r="166" ht="39" customHeight="1">
      <x:c r="A166" s="3" t="str">
        <x:v>fixed18</x:v>
      </x:c>
      <x:c r="B166" s="3" t="n">
        <x:v>161</x:v>
      </x:c>
      <x:c r="C166" s="3" t="str">
        <x:v>417611</x:v>
      </x:c>
      <x:c r="D166" s="3" t="str">
        <x:v>demonstration</x:v>
      </x:c>
      <x:c r="E166" s="13" t="b">
        <x:v>0</x:v>
      </x:c>
      <x:c r="F166" s="3" t="str">
        <x:v>recommendation</x:v>
      </x:c>
      <x:c r="G166" s="3" t="str">
        <x:v>2adec263a5ce87dd4bf56778b7c9652b9d57511f892bbd985d4f985a096bd393</x:v>
      </x:c>
      <x:c r="H166" s="3" t="str">
        <x:v>https://www.lge.co.kr/mkt/review/MD10492839/pdpReviewListPopup</x:v>
      </x:c>
    </x:row>
    <x:row r="167" ht="39" customHeight="1">
      <x:c r="A167" s="3" t="str">
        <x:v>fixed18</x:v>
      </x:c>
      <x:c r="B167" s="3" t="n">
        <x:v>162</x:v>
      </x:c>
      <x:c r="C167" s="3" t="str">
        <x:v>858043</x:v>
      </x:c>
      <x:c r="D167" s="3" t="str">
        <x:v>development</x:v>
      </x:c>
      <x:c r="E167" s="13" t="b">
        <x:v>0</x:v>
      </x:c>
      <x:c r="F167" s="3" t="str">
        <x:v>recommendation</x:v>
      </x:c>
      <x:c r="G167" s="3" t="str">
        <x:v>d1a58d25bf7e332070e49496020049d29b3761e9b3a4e7c8544fd4cca84512dc</x:v>
      </x:c>
      <x:c r="H167" s="3" t="str">
        <x:v>https://www.lge.co.kr/mkt/review/MD10492839/pdpReviewListPopup</x:v>
      </x:c>
    </x:row>
    <x:row r="168" ht="39" customHeight="1">
      <x:c r="A168" s="3" t="str">
        <x:v>fixed18</x:v>
      </x:c>
      <x:c r="B168" s="3" t="n">
        <x:v>163</x:v>
      </x:c>
      <x:c r="C168" s="3" t="str">
        <x:v>851144</x:v>
      </x:c>
      <x:c r="D168" s="3" t="str">
        <x:v>development</x:v>
      </x:c>
      <x:c r="E168" s="13" t="b">
        <x:v>0</x:v>
      </x:c>
      <x:c r="F168" s="3" t="str">
        <x:v>recommendation</x:v>
      </x:c>
      <x:c r="G168" s="3" t="str">
        <x:v>bf7c73f11168ef64cc65bab3b5deca3a8f773dbe4bafdc3f3ff6bf4978187c16</x:v>
      </x:c>
      <x:c r="H168" s="3" t="str">
        <x:v>https://www.lge.co.kr/mkt/review/MD10492839/pdpReviewListPopup</x:v>
      </x:c>
    </x:row>
    <x:row r="169" ht="39" customHeight="1">
      <x:c r="A169" s="3" t="str">
        <x:v>fixed18</x:v>
      </x:c>
      <x:c r="B169" s="3" t="n">
        <x:v>164</x:v>
      </x:c>
      <x:c r="C169" s="3" t="str">
        <x:v>847411</x:v>
      </x:c>
      <x:c r="D169" s="3" t="str">
        <x:v>development</x:v>
      </x:c>
      <x:c r="E169" s="13" t="b">
        <x:v>0</x:v>
      </x:c>
      <x:c r="F169" s="3" t="str">
        <x:v>recommendation</x:v>
      </x:c>
      <x:c r="G169" s="3" t="str">
        <x:v>bfef36e0f2826df86963f854aa92afa9cb7a50035867e8c07949df1c1b0c7f09</x:v>
      </x:c>
      <x:c r="H169" s="3" t="str">
        <x:v>https://www.lge.co.kr/mkt/review/MD10492839/pdpReviewListPopup</x:v>
      </x:c>
    </x:row>
    <x:row r="170" ht="39" customHeight="1">
      <x:c r="A170" s="3" t="str">
        <x:v>fixed18</x:v>
      </x:c>
      <x:c r="B170" s="3" t="n">
        <x:v>165</x:v>
      </x:c>
      <x:c r="C170" s="3" t="str">
        <x:v>840693</x:v>
      </x:c>
      <x:c r="D170" s="3" t="str">
        <x:v>development</x:v>
      </x:c>
      <x:c r="E170" s="13" t="b">
        <x:v>0</x:v>
      </x:c>
      <x:c r="F170" s="3" t="str">
        <x:v>recommendation</x:v>
      </x:c>
      <x:c r="G170" s="3" t="str">
        <x:v>6b32d9a9b00a1667fc2e8aa6f0cd94c01dee795b7d14365620d8f3fbd0bfab8a</x:v>
      </x:c>
      <x:c r="H170" s="3" t="str">
        <x:v>https://www.lge.co.kr/mkt/review/MD10492839/pdpReviewListPopup</x:v>
      </x:c>
    </x:row>
    <x:row r="171" ht="39" customHeight="1">
      <x:c r="A171" s="3" t="str">
        <x:v>fixed18</x:v>
      </x:c>
      <x:c r="B171" s="3" t="n">
        <x:v>166</x:v>
      </x:c>
      <x:c r="C171" s="3" t="str">
        <x:v>839646</x:v>
      </x:c>
      <x:c r="D171" s="3" t="str">
        <x:v>development</x:v>
      </x:c>
      <x:c r="E171" s="13" t="b">
        <x:v>0</x:v>
      </x:c>
      <x:c r="F171" s="3" t="str">
        <x:v>recommendation</x:v>
      </x:c>
      <x:c r="G171" s="3" t="str">
        <x:v>313056abc0e2d22455bb99c5575f196b9ec2cfc67d870ecb50012cbf79411e70</x:v>
      </x:c>
      <x:c r="H171" s="3" t="str">
        <x:v>https://www.lge.co.kr/mkt/review/MD10492839/pdpReviewListPopup</x:v>
      </x:c>
    </x:row>
    <x:row r="172" ht="39" customHeight="1">
      <x:c r="A172" s="3" t="str">
        <x:v>fixed18</x:v>
      </x:c>
      <x:c r="B172" s="3" t="n">
        <x:v>167</x:v>
      </x:c>
      <x:c r="C172" s="3" t="str">
        <x:v>835424</x:v>
      </x:c>
      <x:c r="D172" s="3" t="str">
        <x:v>development</x:v>
      </x:c>
      <x:c r="E172" s="13" t="b">
        <x:v>0</x:v>
      </x:c>
      <x:c r="F172" s="3" t="str">
        <x:v>recommendation</x:v>
      </x:c>
      <x:c r="G172" s="3" t="str">
        <x:v>6d4b507460dfa2ef87052ed718bcf1ff3563e4c3ada4daccce41eaf8a83a0ff9</x:v>
      </x:c>
      <x:c r="H172" s="3" t="str">
        <x:v>https://www.lge.co.kr/mkt/review/MD10492839/pdpReviewListPopup</x:v>
      </x:c>
    </x:row>
    <x:row r="173" ht="39" customHeight="1">
      <x:c r="A173" s="3" t="str">
        <x:v>fixed18</x:v>
      </x:c>
      <x:c r="B173" s="3" t="n">
        <x:v>168</x:v>
      </x:c>
      <x:c r="C173" s="3" t="str">
        <x:v>830001</x:v>
      </x:c>
      <x:c r="D173" s="3" t="str">
        <x:v>demonstration</x:v>
      </x:c>
      <x:c r="E173" s="13" t="b">
        <x:v>0</x:v>
      </x:c>
      <x:c r="F173" s="3" t="str">
        <x:v>recommendation</x:v>
      </x:c>
      <x:c r="G173" s="3" t="str">
        <x:v>5824803f31b48c7ca4f753e929f774da8f9225a8e26b77995281042a6f3f7f9b</x:v>
      </x:c>
      <x:c r="H173" s="3" t="str">
        <x:v>https://www.lge.co.kr/mkt/review/MD10492839/pdpReviewListPopup</x:v>
      </x:c>
    </x:row>
    <x:row r="174" ht="39" customHeight="1">
      <x:c r="A174" s="3" t="str">
        <x:v>fixed18</x:v>
      </x:c>
      <x:c r="B174" s="3" t="n">
        <x:v>169</x:v>
      </x:c>
      <x:c r="C174" s="3" t="str">
        <x:v>800073</x:v>
      </x:c>
      <x:c r="D174" s="3" t="str">
        <x:v>development</x:v>
      </x:c>
      <x:c r="E174" s="13" t="b">
        <x:v>0</x:v>
      </x:c>
      <x:c r="F174" s="3" t="str">
        <x:v>recommendation</x:v>
      </x:c>
      <x:c r="G174" s="3" t="str">
        <x:v>8e1c7d0a302e972e55a9f6dfee26454239a2696a164e2b43a63bf77543e4c1d2</x:v>
      </x:c>
      <x:c r="H174" s="3" t="str">
        <x:v>https://www.lge.co.kr/mkt/review/MD10492840/pdpReviewListPopup</x:v>
      </x:c>
    </x:row>
    <x:row r="175" ht="39" customHeight="1">
      <x:c r="A175" s="3" t="str">
        <x:v>fixed18</x:v>
      </x:c>
      <x:c r="B175" s="3" t="n">
        <x:v>170</x:v>
      </x:c>
      <x:c r="C175" s="3" t="str">
        <x:v>738414</x:v>
      </x:c>
      <x:c r="D175" s="3" t="str">
        <x:v>development</x:v>
      </x:c>
      <x:c r="E175" s="13" t="b">
        <x:v>0</x:v>
      </x:c>
      <x:c r="F175" s="3" t="str">
        <x:v>recommendation</x:v>
      </x:c>
      <x:c r="G175" s="3" t="str">
        <x:v>9b838e6f5490bd23bf3a970a3b2d3c878844fe669e18f4efeb946abdd7746c00</x:v>
      </x:c>
      <x:c r="H175" s="3" t="str">
        <x:v>https://www.lge.co.kr/mkt/review/MD10492840/pdpReviewListPopup</x:v>
      </x:c>
    </x:row>
    <x:row r="176" ht="39" customHeight="1">
      <x:c r="A176" s="3" t="str">
        <x:v>fixed18</x:v>
      </x:c>
      <x:c r="B176" s="3" t="n">
        <x:v>171</x:v>
      </x:c>
      <x:c r="C176" s="3" t="str">
        <x:v>860042</x:v>
      </x:c>
      <x:c r="D176" s="3" t="str">
        <x:v>independent_evaluation</x:v>
      </x:c>
      <x:c r="E176" s="13" t="b">
        <x:v>0</x:v>
      </x:c>
      <x:c r="F176" s="3" t="str">
        <x:v>recommendation</x:v>
      </x:c>
      <x:c r="G176" s="3" t="str">
        <x:v>982e84dae7752d82ad94c1f4a0156d517e327fde01b0f8219f2f1650847c8584</x:v>
      </x:c>
      <x:c r="H176" s="3" t="str">
        <x:v>https://www.lge.co.kr/mkt/review/MD10492840/pdpReviewListPopup</x:v>
      </x:c>
    </x:row>
    <x:row r="177" ht="39" customHeight="1">
      <x:c r="A177" s="3" t="str">
        <x:v>fixed18</x:v>
      </x:c>
      <x:c r="B177" s="3" t="n">
        <x:v>172</x:v>
      </x:c>
      <x:c r="C177" s="3" t="str">
        <x:v>829971</x:v>
      </x:c>
      <x:c r="D177" s="3" t="str">
        <x:v>quarantine</x:v>
      </x:c>
      <x:c r="E177" s="13" t="b">
        <x:v>0</x:v>
      </x:c>
      <x:c r="F177" s="3" t="str">
        <x:v>recommendation</x:v>
      </x:c>
      <x:c r="G177" s="3" t="str">
        <x:v>18f46a568d51afb360e566b898ef110a9538c4aea9789ff97b03e1faf475ace1</x:v>
      </x:c>
      <x:c r="H177" s="3" t="str">
        <x:v>https://www.lge.co.kr/mkt/review/MD10492840/pdpReviewListPopup</x:v>
      </x:c>
    </x:row>
    <x:row r="178" ht="39" customHeight="1">
      <x:c r="A178" s="3" t="str">
        <x:v>fixed18</x:v>
      </x:c>
      <x:c r="B178" s="3" t="n">
        <x:v>173</x:v>
      </x:c>
      <x:c r="C178" s="3" t="str">
        <x:v>826452</x:v>
      </x:c>
      <x:c r="D178" s="3" t="str">
        <x:v>development</x:v>
      </x:c>
      <x:c r="E178" s="13" t="b">
        <x:v>0</x:v>
      </x:c>
      <x:c r="F178" s="3" t="str">
        <x:v>recommendation</x:v>
      </x:c>
      <x:c r="G178" s="3" t="str">
        <x:v>2157009918781963b4ac54ed03490eade36ebe2eab1ba4586cc298ea97dd5b7d</x:v>
      </x:c>
      <x:c r="H178" s="3" t="str">
        <x:v>https://www.lge.co.kr/mkt/review/MD10492840/pdpReviewListPopup</x:v>
      </x:c>
    </x:row>
    <x:row r="179" ht="39" customHeight="1">
      <x:c r="A179" s="3" t="str">
        <x:v>fixed18</x:v>
      </x:c>
      <x:c r="B179" s="3" t="n">
        <x:v>174</x:v>
      </x:c>
      <x:c r="C179" s="3" t="str">
        <x:v>824618</x:v>
      </x:c>
      <x:c r="D179" s="3" t="str">
        <x:v>development</x:v>
      </x:c>
      <x:c r="E179" s="13" t="b">
        <x:v>0</x:v>
      </x:c>
      <x:c r="F179" s="3" t="str">
        <x:v>recommendation</x:v>
      </x:c>
      <x:c r="G179" s="3" t="str">
        <x:v>d8400ed3c44e63f0b1487f0e89baee932d84728a1e8cbf2d59f9be02cc00e2dc</x:v>
      </x:c>
      <x:c r="H179" s="3" t="str">
        <x:v>https://www.lge.co.kr/mkt/review/MD10492840/pdpReviewListPopup</x:v>
      </x:c>
    </x:row>
    <x:row r="180" ht="39" customHeight="1">
      <x:c r="A180" s="3" t="str">
        <x:v>fixed18</x:v>
      </x:c>
      <x:c r="B180" s="3" t="n">
        <x:v>175</x:v>
      </x:c>
      <x:c r="C180" s="3" t="str">
        <x:v>816523</x:v>
      </x:c>
      <x:c r="D180" s="3" t="str">
        <x:v>demonstration</x:v>
      </x:c>
      <x:c r="E180" s="13" t="b">
        <x:v>0</x:v>
      </x:c>
      <x:c r="F180" s="3" t="str">
        <x:v>recommendation</x:v>
      </x:c>
      <x:c r="G180" s="3" t="str">
        <x:v>1cc667d4914a6a2a385ee54494a12df1e7668e3addfeda61ef4b7bd2ab726e9e</x:v>
      </x:c>
      <x:c r="H180" s="3" t="str">
        <x:v>https://www.lge.co.kr/mkt/review/MD10492840/pdpReviewListPopup</x:v>
      </x:c>
    </x:row>
    <x:row r="181" ht="39" customHeight="1">
      <x:c r="A181" s="3" t="str">
        <x:v>fixed18</x:v>
      </x:c>
      <x:c r="B181" s="3" t="n">
        <x:v>176</x:v>
      </x:c>
      <x:c r="C181" s="3" t="str">
        <x:v>796838</x:v>
      </x:c>
      <x:c r="D181" s="3" t="str">
        <x:v>independent_evaluation</x:v>
      </x:c>
      <x:c r="E181" s="13" t="b">
        <x:v>0</x:v>
      </x:c>
      <x:c r="F181" s="3" t="str">
        <x:v>recommendation</x:v>
      </x:c>
      <x:c r="G181" s="3" t="str">
        <x:v>67fe083afe64e6676e5d7417370c17400ab6e92b09a68380b4c5305413826666</x:v>
      </x:c>
      <x:c r="H181" s="3" t="str">
        <x:v>https://www.lge.co.kr/mkt/review/MD10492840/pdpReviewListPopup</x:v>
      </x:c>
    </x:row>
    <x:row r="182" ht="39" customHeight="1">
      <x:c r="A182" s="3" t="str">
        <x:v>fixed18</x:v>
      </x:c>
      <x:c r="B182" s="3" t="n">
        <x:v>177</x:v>
      </x:c>
      <x:c r="C182" s="3" t="str">
        <x:v>790796</x:v>
      </x:c>
      <x:c r="D182" s="3" t="str">
        <x:v>development</x:v>
      </x:c>
      <x:c r="E182" s="13" t="b">
        <x:v>0</x:v>
      </x:c>
      <x:c r="F182" s="3" t="str">
        <x:v>recommendation</x:v>
      </x:c>
      <x:c r="G182" s="3" t="str">
        <x:v>9581522254058b6c75874f8301f66ad79d3985007f2fdae41d029bec5ec91edd</x:v>
      </x:c>
      <x:c r="H182" s="3" t="str">
        <x:v>https://www.lge.co.kr/mkt/review/MD10492840/pdpReviewListPopup</x:v>
      </x:c>
    </x:row>
    <x:row r="183" ht="39" customHeight="1">
      <x:c r="A183" s="3" t="str">
        <x:v>fixed18</x:v>
      </x:c>
      <x:c r="B183" s="3" t="n">
        <x:v>178</x:v>
      </x:c>
      <x:c r="C183" s="3" t="str">
        <x:v>780525</x:v>
      </x:c>
      <x:c r="D183" s="3" t="str">
        <x:v>development</x:v>
      </x:c>
      <x:c r="E183" s="13" t="b">
        <x:v>0</x:v>
      </x:c>
      <x:c r="F183" s="3" t="str">
        <x:v>recommendation</x:v>
      </x:c>
      <x:c r="G183" s="3" t="str">
        <x:v>55879fdefb7961b74df574854587f3a15f5d72c9a2b012e584840864ad8228d5</x:v>
      </x:c>
      <x:c r="H183" s="3" t="str">
        <x:v>https://www.lge.co.kr/mkt/review/MD10492840/pdpReviewListPopup</x:v>
      </x:c>
    </x:row>
    <x:row r="184" ht="39" customHeight="1">
      <x:c r="A184" s="3" t="str">
        <x:v>balanced-pilot-v2</x:v>
      </x:c>
      <x:c r="B184" s="3" t="n">
        <x:v>0</x:v>
      </x:c>
      <x:c r="C184" s="3" t="str">
        <x:v>861821</x:v>
      </x:c>
      <x:c r="D184" s="3" t="str">
        <x:v>development</x:v>
      </x:c>
      <x:c r="E184" s="13" t="b">
        <x:v>0</x:v>
      </x:c>
      <x:c r="F184" s="3" t="str">
        <x:v>recent</x:v>
      </x:c>
      <x:c r="G184" s="3" t="str">
        <x:v>e4010aa6e444a6c4a02e2bebb8e82a40fece8d54608661c212bfc8d16f65a886</x:v>
      </x:c>
      <x:c r="H184" s="3" t="str">
        <x:v>https://www.lge.co.kr/mkt/review/MD10758826/pdpReviewListPopup</x:v>
      </x:c>
    </x:row>
    <x:row r="185" ht="39" customHeight="1">
      <x:c r="A185" s="3" t="str">
        <x:v>balanced-pilot-v2</x:v>
      </x:c>
      <x:c r="B185" s="3" t="n">
        <x:v>1</x:v>
      </x:c>
      <x:c r="C185" s="3" t="str">
        <x:v>861640</x:v>
      </x:c>
      <x:c r="D185" s="3" t="str">
        <x:v>quarantine</x:v>
      </x:c>
      <x:c r="E185" s="13" t="b">
        <x:v>0</x:v>
      </x:c>
      <x:c r="F185" s="3" t="str">
        <x:v>recent</x:v>
      </x:c>
      <x:c r="G185" s="3" t="str">
        <x:v>8196f29a6b414ca20893806bb9bcfd14dc0abe8aac0b3ce2ca25570cbfbceb18</x:v>
      </x:c>
      <x:c r="H185" s="3" t="str">
        <x:v>https://www.lge.co.kr/mkt/review/MD10758826/pdpReviewListPopup</x:v>
      </x:c>
    </x:row>
    <x:row r="186" ht="39" customHeight="1">
      <x:c r="A186" s="3" t="str">
        <x:v>balanced-pilot-v2</x:v>
      </x:c>
      <x:c r="B186" s="3" t="n">
        <x:v>2</x:v>
      </x:c>
      <x:c r="C186" s="3" t="str">
        <x:v>861627</x:v>
      </x:c>
      <x:c r="D186" s="3" t="str">
        <x:v>development</x:v>
      </x:c>
      <x:c r="E186" s="13" t="b">
        <x:v>0</x:v>
      </x:c>
      <x:c r="F186" s="3" t="str">
        <x:v>recent</x:v>
      </x:c>
      <x:c r="G186" s="3" t="str">
        <x:v>463b9c4dc560aa08d4d6caa9e3f193a75493a778fd366a11ac2d1be3f89e92fa</x:v>
      </x:c>
      <x:c r="H186" s="3" t="str">
        <x:v>https://www.lge.co.kr/mkt/review/MD10758826/pdpReviewListPopup</x:v>
      </x:c>
    </x:row>
    <x:row r="187" ht="39" customHeight="1">
      <x:c r="A187" s="3" t="str">
        <x:v>balanced-pilot-v2</x:v>
      </x:c>
      <x:c r="B187" s="3" t="n">
        <x:v>3</x:v>
      </x:c>
      <x:c r="C187" s="3" t="str">
        <x:v>861497</x:v>
      </x:c>
      <x:c r="D187" s="3" t="str">
        <x:v>development</x:v>
      </x:c>
      <x:c r="E187" s="13" t="b">
        <x:v>0</x:v>
      </x:c>
      <x:c r="F187" s="3" t="str">
        <x:v>recent</x:v>
      </x:c>
      <x:c r="G187" s="3" t="str">
        <x:v>32929d2d0a38af357a9fe72494bbd4b93d4d5d416f170874bf88958b7b2c1463</x:v>
      </x:c>
      <x:c r="H187" s="3" t="str">
        <x:v>https://www.lge.co.kr/mkt/review/MD10758826/pdpReviewListPopup</x:v>
      </x:c>
    </x:row>
    <x:row r="188" ht="39" customHeight="1">
      <x:c r="A188" s="3" t="str">
        <x:v>balanced-pilot-v2</x:v>
      </x:c>
      <x:c r="B188" s="3" t="n">
        <x:v>4</x:v>
      </x:c>
      <x:c r="C188" s="3" t="str">
        <x:v>861454</x:v>
      </x:c>
      <x:c r="D188" s="3" t="str">
        <x:v>development</x:v>
      </x:c>
      <x:c r="E188" s="13" t="b">
        <x:v>0</x:v>
      </x:c>
      <x:c r="F188" s="3" t="str">
        <x:v>recent</x:v>
      </x:c>
      <x:c r="G188" s="3" t="str">
        <x:v>f758677faae938d3ca5102378bba3bd5835aff57ac689108e58b497f786a4d13</x:v>
      </x:c>
      <x:c r="H188" s="3" t="str">
        <x:v>https://www.lge.co.kr/mkt/review/MD10758826/pdpReviewListPopup</x:v>
      </x:c>
    </x:row>
    <x:row r="189" ht="39" customHeight="1">
      <x:c r="A189" s="3" t="str">
        <x:v>balanced-pilot-v2</x:v>
      </x:c>
      <x:c r="B189" s="3" t="n">
        <x:v>5</x:v>
      </x:c>
      <x:c r="C189" s="3" t="str">
        <x:v>861281</x:v>
      </x:c>
      <x:c r="D189" s="3" t="str">
        <x:v>development</x:v>
      </x:c>
      <x:c r="E189" s="13" t="b">
        <x:v>0</x:v>
      </x:c>
      <x:c r="F189" s="3" t="str">
        <x:v>recent</x:v>
      </x:c>
      <x:c r="G189" s="3" t="str">
        <x:v>cc4d1600289f6cdbf63964ea9af2aa478a120eac564d77c665b3d473219c06db</x:v>
      </x:c>
      <x:c r="H189" s="3" t="str">
        <x:v>https://www.lge.co.kr/mkt/review/MD10758826/pdpReviewListPopup</x:v>
      </x:c>
    </x:row>
    <x:row r="190" ht="39" customHeight="1">
      <x:c r="A190" s="3" t="str">
        <x:v>balanced-pilot-v2</x:v>
      </x:c>
      <x:c r="B190" s="3" t="n">
        <x:v>6</x:v>
      </x:c>
      <x:c r="C190" s="3" t="str">
        <x:v>861268</x:v>
      </x:c>
      <x:c r="D190" s="3" t="str">
        <x:v>demonstration</x:v>
      </x:c>
      <x:c r="E190" s="13" t="b">
        <x:v>0</x:v>
      </x:c>
      <x:c r="F190" s="3" t="str">
        <x:v>recent</x:v>
      </x:c>
      <x:c r="G190" s="3" t="str">
        <x:v>2ccec455e0ad798b695de50272d1eed13e81163e56cb7716095bc1e40d3e9f05</x:v>
      </x:c>
      <x:c r="H190" s="3" t="str">
        <x:v>https://www.lge.co.kr/mkt/review/MD10758826/pdpReviewListPopup</x:v>
      </x:c>
    </x:row>
    <x:row r="191" ht="39" customHeight="1">
      <x:c r="A191" s="3" t="str">
        <x:v>balanced-pilot-v2</x:v>
      </x:c>
      <x:c r="B191" s="3" t="n">
        <x:v>7</x:v>
      </x:c>
      <x:c r="C191" s="3" t="str">
        <x:v>861188</x:v>
      </x:c>
      <x:c r="D191" s="3" t="str">
        <x:v>independent_evaluation</x:v>
      </x:c>
      <x:c r="E191" s="13" t="b">
        <x:v>0</x:v>
      </x:c>
      <x:c r="F191" s="3" t="str">
        <x:v>recent</x:v>
      </x:c>
      <x:c r="G191" s="3" t="str">
        <x:v>c2c91c4e49af320f5f388d97cf21d818667a7aeb924ca7521d35b7d0d25f3594</x:v>
      </x:c>
      <x:c r="H191" s="3" t="str">
        <x:v>https://www.lge.co.kr/mkt/review/MD10758826/pdpReviewListPopup</x:v>
      </x:c>
    </x:row>
    <x:row r="192" ht="39" customHeight="1">
      <x:c r="A192" s="3" t="str">
        <x:v>balanced-pilot-v2</x:v>
      </x:c>
      <x:c r="B192" s="3" t="n">
        <x:v>8</x:v>
      </x:c>
      <x:c r="C192" s="3" t="str">
        <x:v>861181</x:v>
      </x:c>
      <x:c r="D192" s="3" t="str">
        <x:v>development</x:v>
      </x:c>
      <x:c r="E192" s="13" t="b">
        <x:v>0</x:v>
      </x:c>
      <x:c r="F192" s="3" t="str">
        <x:v>recent</x:v>
      </x:c>
      <x:c r="G192" s="3" t="str">
        <x:v>73229c4a64070dfc01c9710bab577065ec3c875bc8959414b9e5b2a628e9f1cb</x:v>
      </x:c>
      <x:c r="H192" s="3" t="str">
        <x:v>https://www.lge.co.kr/mkt/review/MD10758826/pdpReviewListPopup</x:v>
      </x:c>
    </x:row>
    <x:row r="193" ht="39" customHeight="1">
      <x:c r="A193" s="3" t="str">
        <x:v>balanced-pilot-v2</x:v>
      </x:c>
      <x:c r="B193" s="3" t="n">
        <x:v>9</x:v>
      </x:c>
      <x:c r="C193" s="3" t="str">
        <x:v>861174</x:v>
      </x:c>
      <x:c r="D193" s="3" t="str">
        <x:v>development</x:v>
      </x:c>
      <x:c r="E193" s="13" t="b">
        <x:v>0</x:v>
      </x:c>
      <x:c r="F193" s="3" t="str">
        <x:v>recent</x:v>
      </x:c>
      <x:c r="G193" s="3" t="str">
        <x:v>3878bd7fe8a90bb6d05073c5a4e8bd7fbe659499edb2013fe20e7000f0de3c68</x:v>
      </x:c>
      <x:c r="H193" s="3" t="str">
        <x:v>https://www.lge.co.kr/mkt/review/MD10758826/pdpReviewListPopup</x:v>
      </x:c>
    </x:row>
    <x:row r="194" ht="39" customHeight="1">
      <x:c r="A194" s="3" t="str">
        <x:v>balanced-pilot-v2</x:v>
      </x:c>
      <x:c r="B194" s="3" t="n">
        <x:v>10</x:v>
      </x:c>
      <x:c r="C194" s="3" t="str">
        <x:v>844977</x:v>
      </x:c>
      <x:c r="D194" s="3" t="str">
        <x:v>independent_evaluation</x:v>
      </x:c>
      <x:c r="E194" s="13" t="b">
        <x:v>0</x:v>
      </x:c>
      <x:c r="F194" s="3" t="str">
        <x:v>scoreAsc</x:v>
      </x:c>
      <x:c r="G194" s="3" t="str">
        <x:v>52ea809d2aef233c863b4baa3338b2c0982552c5fcfc94f035f89e8fbab2bb4b</x:v>
      </x:c>
      <x:c r="H194" s="3" t="str">
        <x:v>https://www.lge.co.kr/mkt/review/MD10758826/pdpReviewListPopup</x:v>
      </x:c>
    </x:row>
    <x:row r="195" ht="39" customHeight="1">
      <x:c r="A195" s="3" t="str">
        <x:v>balanced-pilot-v2</x:v>
      </x:c>
      <x:c r="B195" s="3" t="n">
        <x:v>11</x:v>
      </x:c>
      <x:c r="C195" s="3" t="str">
        <x:v>828498</x:v>
      </x:c>
      <x:c r="D195" s="3" t="str">
        <x:v>development</x:v>
      </x:c>
      <x:c r="E195" s="13" t="b">
        <x:v>0</x:v>
      </x:c>
      <x:c r="F195" s="3" t="str">
        <x:v>scoreAsc</x:v>
      </x:c>
      <x:c r="G195" s="3" t="str">
        <x:v>2c3571650aabf9a41c4b8ce19050fa46fb3ea374ba5b4b64db67dcc42dc9906c</x:v>
      </x:c>
      <x:c r="H195" s="3" t="str">
        <x:v>https://www.lge.co.kr/mkt/review/MD10758826/pdpReviewListPopup</x:v>
      </x:c>
    </x:row>
    <x:row r="196" ht="39" customHeight="1">
      <x:c r="A196" s="3" t="str">
        <x:v>balanced-pilot-v2</x:v>
      </x:c>
      <x:c r="B196" s="3" t="n">
        <x:v>12</x:v>
      </x:c>
      <x:c r="C196" s="3" t="str">
        <x:v>804322</x:v>
      </x:c>
      <x:c r="D196" s="3" t="str">
        <x:v>development</x:v>
      </x:c>
      <x:c r="E196" s="13" t="b">
        <x:v>0</x:v>
      </x:c>
      <x:c r="F196" s="3" t="str">
        <x:v>scoreAsc</x:v>
      </x:c>
      <x:c r="G196" s="3" t="str">
        <x:v>077f89c53fdd277ce2493890029427085ee0006d4260f9aa1777926aa280bc1b</x:v>
      </x:c>
      <x:c r="H196" s="3" t="str">
        <x:v>https://www.lge.co.kr/mkt/review/MD10758826/pdpReviewListPopup</x:v>
      </x:c>
    </x:row>
    <x:row r="197" ht="39" customHeight="1">
      <x:c r="A197" s="3" t="str">
        <x:v>balanced-pilot-v2</x:v>
      </x:c>
      <x:c r="B197" s="3" t="n">
        <x:v>13</x:v>
      </x:c>
      <x:c r="C197" s="3" t="str">
        <x:v>798666</x:v>
      </x:c>
      <x:c r="D197" s="3" t="str">
        <x:v>development</x:v>
      </x:c>
      <x:c r="E197" s="13" t="b">
        <x:v>0</x:v>
      </x:c>
      <x:c r="F197" s="3" t="str">
        <x:v>scoreAsc</x:v>
      </x:c>
      <x:c r="G197" s="3" t="str">
        <x:v>ac35aa94d7c36ca2b3f93dcada2f32ab14874ce911ab387a7ff60c4fc23ce41c</x:v>
      </x:c>
      <x:c r="H197" s="3" t="str">
        <x:v>https://www.lge.co.kr/mkt/review/MD10758826/pdpReviewListPopup</x:v>
      </x:c>
    </x:row>
    <x:row r="198" ht="39" customHeight="1">
      <x:c r="A198" s="3" t="str">
        <x:v>balanced-pilot-v2</x:v>
      </x:c>
      <x:c r="B198" s="3" t="n">
        <x:v>14</x:v>
      </x:c>
      <x:c r="C198" s="3" t="str">
        <x:v>797084</x:v>
      </x:c>
      <x:c r="D198" s="3" t="str">
        <x:v>development</x:v>
      </x:c>
      <x:c r="E198" s="13" t="b">
        <x:v>0</x:v>
      </x:c>
      <x:c r="F198" s="3" t="str">
        <x:v>scoreAsc</x:v>
      </x:c>
      <x:c r="G198" s="3" t="str">
        <x:v>4c98949631b6f4a70c4f5cb02abd616b84c0bd23e44a5443ad1ba4f8d36a19fd</x:v>
      </x:c>
      <x:c r="H198" s="3" t="str">
        <x:v>https://www.lge.co.kr/mkt/review/MD10758826/pdpReviewListPopup</x:v>
      </x:c>
    </x:row>
    <x:row r="199" ht="39" customHeight="1">
      <x:c r="A199" s="3" t="str">
        <x:v>balanced-pilot-v2</x:v>
      </x:c>
      <x:c r="B199" s="3" t="n">
        <x:v>15</x:v>
      </x:c>
      <x:c r="C199" s="3" t="str">
        <x:v>747351</x:v>
      </x:c>
      <x:c r="D199" s="3" t="str">
        <x:v>independent_evaluation</x:v>
      </x:c>
      <x:c r="E199" s="13" t="b">
        <x:v>0</x:v>
      </x:c>
      <x:c r="F199" s="3" t="str">
        <x:v>scoreAsc</x:v>
      </x:c>
      <x:c r="G199" s="3" t="str">
        <x:v>073a0d59340ccf7718b09bf1478db04edd07c9857620ed0689de88f88440fde4</x:v>
      </x:c>
      <x:c r="H199" s="3" t="str">
        <x:v>https://www.lge.co.kr/mkt/review/MD10758826/pdpReviewListPopup</x:v>
      </x:c>
    </x:row>
    <x:row r="200" ht="39" customHeight="1">
      <x:c r="A200" s="3" t="str">
        <x:v>balanced-pilot-v2</x:v>
      </x:c>
      <x:c r="B200" s="3" t="n">
        <x:v>16</x:v>
      </x:c>
      <x:c r="C200" s="3" t="str">
        <x:v>851675</x:v>
      </x:c>
      <x:c r="D200" s="3" t="str">
        <x:v>independent_evaluation</x:v>
      </x:c>
      <x:c r="E200" s="13" t="b">
        <x:v>0</x:v>
      </x:c>
      <x:c r="F200" s="3" t="str">
        <x:v>scoreAsc</x:v>
      </x:c>
      <x:c r="G200" s="3" t="str">
        <x:v>bf26241ea1b1cec2fdbec5fe4eb1452c53122e25b0173b9a82777f88aec61cd2</x:v>
      </x:c>
      <x:c r="H200" s="3" t="str">
        <x:v>https://www.lge.co.kr/mkt/review/MD10758826/pdpReviewListPopup</x:v>
      </x:c>
    </x:row>
    <x:row r="201" ht="39" customHeight="1">
      <x:c r="A201" s="3" t="str">
        <x:v>balanced-pilot-v2</x:v>
      </x:c>
      <x:c r="B201" s="3" t="n">
        <x:v>17</x:v>
      </x:c>
      <x:c r="C201" s="3" t="str">
        <x:v>807886</x:v>
      </x:c>
      <x:c r="D201" s="3" t="str">
        <x:v>development</x:v>
      </x:c>
      <x:c r="E201" s="13" t="b">
        <x:v>0</x:v>
      </x:c>
      <x:c r="F201" s="3" t="str">
        <x:v>scoreAsc</x:v>
      </x:c>
      <x:c r="G201" s="3" t="str">
        <x:v>433241c2f72c6712ded5c2dd571daa0b3acf671ebceac50e94521d35f23b5302</x:v>
      </x:c>
      <x:c r="H201" s="3" t="str">
        <x:v>https://www.lge.co.kr/mkt/review/MD10758826/pdpReviewListPopup</x:v>
      </x:c>
    </x:row>
    <x:row r="202" ht="39" customHeight="1">
      <x:c r="A202" s="3" t="str">
        <x:v>balanced-pilot-v2</x:v>
      </x:c>
      <x:c r="B202" s="3" t="n">
        <x:v>18</x:v>
      </x:c>
      <x:c r="C202" s="3" t="str">
        <x:v>801970</x:v>
      </x:c>
      <x:c r="D202" s="3" t="str">
        <x:v>development</x:v>
      </x:c>
      <x:c r="E202" s="13" t="b">
        <x:v>0</x:v>
      </x:c>
      <x:c r="F202" s="3" t="str">
        <x:v>scoreAsc</x:v>
      </x:c>
      <x:c r="G202" s="3" t="str">
        <x:v>3d5d5dfd2257e91afb508a7a20f3717921e14a2ecd364a86e73c24b854c00d55</x:v>
      </x:c>
      <x:c r="H202" s="3" t="str">
        <x:v>https://www.lge.co.kr/mkt/review/MD10758826/pdpReviewListPopup</x:v>
      </x:c>
    </x:row>
    <x:row r="203" ht="39" customHeight="1">
      <x:c r="A203" s="3" t="str">
        <x:v>balanced-pilot-v2</x:v>
      </x:c>
      <x:c r="B203" s="3" t="n">
        <x:v>19</x:v>
      </x:c>
      <x:c r="C203" s="3" t="str">
        <x:v>767601</x:v>
      </x:c>
      <x:c r="D203" s="3" t="str">
        <x:v>development</x:v>
      </x:c>
      <x:c r="E203" s="13" t="b">
        <x:v>0</x:v>
      </x:c>
      <x:c r="F203" s="3" t="str">
        <x:v>scoreAsc</x:v>
      </x:c>
      <x:c r="G203" s="3" t="str">
        <x:v>e78af258c23f029eaf6c1d355ddf15f478c21098647425ef8ef220f42d4e3f74</x:v>
      </x:c>
      <x:c r="H203" s="3" t="str">
        <x:v>https://www.lge.co.kr/mkt/review/MD10758826/pdpReviewListPopup</x:v>
      </x:c>
    </x:row>
    <x:row r="204" ht="39" customHeight="1">
      <x:c r="A204" s="3" t="str">
        <x:v>balanced-pilot-v2</x:v>
      </x:c>
      <x:c r="B204" s="3" t="n">
        <x:v>20</x:v>
      </x:c>
      <x:c r="C204" s="3" t="str">
        <x:v>861775</x:v>
      </x:c>
      <x:c r="D204" s="3" t="str">
        <x:v>demonstration</x:v>
      </x:c>
      <x:c r="E204" s="13" t="b">
        <x:v>0</x:v>
      </x:c>
      <x:c r="F204" s="3" t="str">
        <x:v>recent</x:v>
      </x:c>
      <x:c r="G204" s="3" t="str">
        <x:v>ad0258fa8f2cf996cc22805d83f066ee84f25b4fbf3afdcd6fe1ba194d6df8c3</x:v>
      </x:c>
      <x:c r="H204" s="3" t="str">
        <x:v>https://www.lge.co.kr/mkt/review/MD10738847/pdpReviewListPopup</x:v>
      </x:c>
    </x:row>
    <x:row r="205" ht="39" customHeight="1">
      <x:c r="A205" s="3" t="str">
        <x:v>balanced-pilot-v2</x:v>
      </x:c>
      <x:c r="B205" s="3" t="n">
        <x:v>21</x:v>
      </x:c>
      <x:c r="C205" s="3" t="str">
        <x:v>861706</x:v>
      </x:c>
      <x:c r="D205" s="3" t="str">
        <x:v>development</x:v>
      </x:c>
      <x:c r="E205" s="13" t="b">
        <x:v>0</x:v>
      </x:c>
      <x:c r="F205" s="3" t="str">
        <x:v>recent</x:v>
      </x:c>
      <x:c r="G205" s="3" t="str">
        <x:v>66627d2c8ccd192b53e54bf2d6b0fa1e37c6a6724703da98e86a71121d955dc5</x:v>
      </x:c>
      <x:c r="H205" s="3" t="str">
        <x:v>https://www.lge.co.kr/mkt/review/MD10738847/pdpReviewListPopup</x:v>
      </x:c>
    </x:row>
    <x:row r="206" ht="39" customHeight="1">
      <x:c r="A206" s="3" t="str">
        <x:v>balanced-pilot-v2</x:v>
      </x:c>
      <x:c r="B206" s="3" t="n">
        <x:v>22</x:v>
      </x:c>
      <x:c r="C206" s="3" t="str">
        <x:v>861530</x:v>
      </x:c>
      <x:c r="D206" s="3" t="str">
        <x:v>development</x:v>
      </x:c>
      <x:c r="E206" s="13" t="b">
        <x:v>0</x:v>
      </x:c>
      <x:c r="F206" s="3" t="str">
        <x:v>recent</x:v>
      </x:c>
      <x:c r="G206" s="3" t="str">
        <x:v>179684d70016aa1557682917ef7660f7a1a37653597f9ebfd1c0d434eb195546</x:v>
      </x:c>
      <x:c r="H206" s="3" t="str">
        <x:v>https://www.lge.co.kr/mkt/review/MD10738847/pdpReviewListPopup</x:v>
      </x:c>
    </x:row>
    <x:row r="207" ht="39" customHeight="1">
      <x:c r="A207" s="3" t="str">
        <x:v>balanced-pilot-v2</x:v>
      </x:c>
      <x:c r="B207" s="3" t="n">
        <x:v>23</x:v>
      </x:c>
      <x:c r="C207" s="3" t="str">
        <x:v>861073</x:v>
      </x:c>
      <x:c r="D207" s="3" t="str">
        <x:v>development</x:v>
      </x:c>
      <x:c r="E207" s="13" t="b">
        <x:v>0</x:v>
      </x:c>
      <x:c r="F207" s="3" t="str">
        <x:v>recent</x:v>
      </x:c>
      <x:c r="G207" s="3" t="str">
        <x:v>01badb6fbdbd1e8a8b659a3764617ccf26ca0491bb7f92b5e6451de137ee92c8</x:v>
      </x:c>
      <x:c r="H207" s="3" t="str">
        <x:v>https://www.lge.co.kr/mkt/review/MD10738847/pdpReviewListPopup</x:v>
      </x:c>
    </x:row>
    <x:row r="208" ht="39" customHeight="1">
      <x:c r="A208" s="3" t="str">
        <x:v>balanced-pilot-v2</x:v>
      </x:c>
      <x:c r="B208" s="3" t="n">
        <x:v>24</x:v>
      </x:c>
      <x:c r="C208" s="3" t="str">
        <x:v>860977</x:v>
      </x:c>
      <x:c r="D208" s="3" t="str">
        <x:v>development</x:v>
      </x:c>
      <x:c r="E208" s="13" t="b">
        <x:v>1</x:v>
      </x:c>
      <x:c r="F208" s="3" t="str">
        <x:v>recent</x:v>
      </x:c>
      <x:c r="G208" s="3" t="str">
        <x:v>3e6f6af5b3e6844b4053145088137f80de5b3a6b405a6f70219208f7a6172335</x:v>
      </x:c>
      <x:c r="H208" s="3" t="str">
        <x:v>https://www.lge.co.kr/mkt/review/MD10738847/pdpReviewListPopup</x:v>
      </x:c>
    </x:row>
    <x:row r="209" ht="39" customHeight="1">
      <x:c r="A209" s="3" t="str">
        <x:v>balanced-pilot-v2</x:v>
      </x:c>
      <x:c r="B209" s="3" t="n">
        <x:v>25</x:v>
      </x:c>
      <x:c r="C209" s="3" t="str">
        <x:v>860964</x:v>
      </x:c>
      <x:c r="D209" s="3" t="str">
        <x:v>development</x:v>
      </x:c>
      <x:c r="E209" s="13" t="b">
        <x:v>0</x:v>
      </x:c>
      <x:c r="F209" s="3" t="str">
        <x:v>recent</x:v>
      </x:c>
      <x:c r="G209" s="3" t="str">
        <x:v>43cc1a184e407d1d7c7aa736761aadc8497b9cce2f52632fb3e0e7516d58f191</x:v>
      </x:c>
      <x:c r="H209" s="3" t="str">
        <x:v>https://www.lge.co.kr/mkt/review/MD10738847/pdpReviewListPopup</x:v>
      </x:c>
    </x:row>
    <x:row r="210" ht="39" customHeight="1">
      <x:c r="A210" s="3" t="str">
        <x:v>balanced-pilot-v2</x:v>
      </x:c>
      <x:c r="B210" s="3" t="n">
        <x:v>26</x:v>
      </x:c>
      <x:c r="C210" s="3" t="str">
        <x:v>860603</x:v>
      </x:c>
      <x:c r="D210" s="3" t="str">
        <x:v>demonstration</x:v>
      </x:c>
      <x:c r="E210" s="13" t="b">
        <x:v>0</x:v>
      </x:c>
      <x:c r="F210" s="3" t="str">
        <x:v>recent</x:v>
      </x:c>
      <x:c r="G210" s="3" t="str">
        <x:v>5e69a49d9385ad060fcab0587581c6c1ebcdd562fe3e6f78b6fb76e49001bf49</x:v>
      </x:c>
      <x:c r="H210" s="3" t="str">
        <x:v>https://www.lge.co.kr/mkt/review/MD10738847/pdpReviewListPopup</x:v>
      </x:c>
    </x:row>
    <x:row r="211" ht="39" customHeight="1">
      <x:c r="A211" s="3" t="str">
        <x:v>balanced-pilot-v2</x:v>
      </x:c>
      <x:c r="B211" s="3" t="n">
        <x:v>27</x:v>
      </x:c>
      <x:c r="C211" s="3" t="str">
        <x:v>860194</x:v>
      </x:c>
      <x:c r="D211" s="3" t="str">
        <x:v>development</x:v>
      </x:c>
      <x:c r="E211" s="13" t="b">
        <x:v>0</x:v>
      </x:c>
      <x:c r="F211" s="3" t="str">
        <x:v>recent</x:v>
      </x:c>
      <x:c r="G211" s="3" t="str">
        <x:v>c8a2aa38c4bea41b4a5e18f41c3c0e078f0ef1d67e081f064b5966e05752b69b</x:v>
      </x:c>
      <x:c r="H211" s="3" t="str">
        <x:v>https://www.lge.co.kr/mkt/review/MD10738847/pdpReviewListPopup</x:v>
      </x:c>
    </x:row>
    <x:row r="212" ht="39" customHeight="1">
      <x:c r="A212" s="3" t="str">
        <x:v>balanced-pilot-v2</x:v>
      </x:c>
      <x:c r="B212" s="3" t="n">
        <x:v>28</x:v>
      </x:c>
      <x:c r="C212" s="3" t="str">
        <x:v>860056</x:v>
      </x:c>
      <x:c r="D212" s="3" t="str">
        <x:v>demonstration</x:v>
      </x:c>
      <x:c r="E212" s="13" t="b">
        <x:v>0</x:v>
      </x:c>
      <x:c r="F212" s="3" t="str">
        <x:v>recent</x:v>
      </x:c>
      <x:c r="G212" s="3" t="str">
        <x:v>5344aba804075693aba2115383a70df33ed63a0ef81351f981a895d808f2c835</x:v>
      </x:c>
      <x:c r="H212" s="3" t="str">
        <x:v>https://www.lge.co.kr/mkt/review/MD10738847/pdpReviewListPopup</x:v>
      </x:c>
    </x:row>
    <x:row r="213" ht="39" customHeight="1">
      <x:c r="A213" s="3" t="str">
        <x:v>balanced-pilot-v2</x:v>
      </x:c>
      <x:c r="B213" s="3" t="n">
        <x:v>29</x:v>
      </x:c>
      <x:c r="C213" s="3" t="str">
        <x:v>859746</x:v>
      </x:c>
      <x:c r="D213" s="3" t="str">
        <x:v>development</x:v>
      </x:c>
      <x:c r="E213" s="13" t="b">
        <x:v>0</x:v>
      </x:c>
      <x:c r="F213" s="3" t="str">
        <x:v>recent</x:v>
      </x:c>
      <x:c r="G213" s="3" t="str">
        <x:v>2a4038133e595925308eca5422662ad94c4bfdb5d5e646bd960f3bcf7d5bd0ba</x:v>
      </x:c>
      <x:c r="H213" s="3" t="str">
        <x:v>https://www.lge.co.kr/mkt/review/MD10738847/pdpReviewListPopup</x:v>
      </x:c>
    </x:row>
    <x:row r="214" ht="39" customHeight="1">
      <x:c r="A214" s="3" t="str">
        <x:v>balanced-pilot-v2</x:v>
      </x:c>
      <x:c r="B214" s="3" t="n">
        <x:v>30</x:v>
      </x:c>
      <x:c r="C214" s="3" t="str">
        <x:v>851786</x:v>
      </x:c>
      <x:c r="D214" s="3" t="str">
        <x:v>demonstration</x:v>
      </x:c>
      <x:c r="E214" s="13" t="b">
        <x:v>0</x:v>
      </x:c>
      <x:c r="F214" s="3" t="str">
        <x:v>scoreAsc</x:v>
      </x:c>
      <x:c r="G214" s="3" t="str">
        <x:v>66d941a5ceae3e42ace5bf452b0649a4d0b2d6e0f145675c864d659ae56106da</x:v>
      </x:c>
      <x:c r="H214" s="3" t="str">
        <x:v>https://www.lge.co.kr/mkt/review/MD10738847/pdpReviewListPopup</x:v>
      </x:c>
    </x:row>
    <x:row r="215" ht="39" customHeight="1">
      <x:c r="A215" s="3" t="str">
        <x:v>balanced-pilot-v2</x:v>
      </x:c>
      <x:c r="B215" s="3" t="n">
        <x:v>31</x:v>
      </x:c>
      <x:c r="C215" s="3" t="str">
        <x:v>845233</x:v>
      </x:c>
      <x:c r="D215" s="3" t="str">
        <x:v>demonstration</x:v>
      </x:c>
      <x:c r="E215" s="13" t="b">
        <x:v>0</x:v>
      </x:c>
      <x:c r="F215" s="3" t="str">
        <x:v>scoreAsc</x:v>
      </x:c>
      <x:c r="G215" s="3" t="str">
        <x:v>472916b69c0015234370238fd0500298f5af29670286eff7a951ff9f48e184b0</x:v>
      </x:c>
      <x:c r="H215" s="3" t="str">
        <x:v>https://www.lge.co.kr/mkt/review/MD10738847/pdpReviewListPopup</x:v>
      </x:c>
    </x:row>
    <x:row r="216" ht="39" customHeight="1">
      <x:c r="A216" s="3" t="str">
        <x:v>balanced-pilot-v2</x:v>
      </x:c>
      <x:c r="B216" s="3" t="n">
        <x:v>32</x:v>
      </x:c>
      <x:c r="C216" s="3" t="str">
        <x:v>842625</x:v>
      </x:c>
      <x:c r="D216" s="3" t="str">
        <x:v>development</x:v>
      </x:c>
      <x:c r="E216" s="13" t="b">
        <x:v>0</x:v>
      </x:c>
      <x:c r="F216" s="3" t="str">
        <x:v>scoreAsc</x:v>
      </x:c>
      <x:c r="G216" s="3" t="str">
        <x:v>3e7bd8979842ed81aad986dd3e4fabcec05625b03db9b046afe8a6c7d406da09</x:v>
      </x:c>
      <x:c r="H216" s="3" t="str">
        <x:v>https://www.lge.co.kr/mkt/review/MD10738847/pdpReviewListPopup</x:v>
      </x:c>
    </x:row>
    <x:row r="217" ht="39" customHeight="1">
      <x:c r="A217" s="3" t="str">
        <x:v>balanced-pilot-v2</x:v>
      </x:c>
      <x:c r="B217" s="3" t="n">
        <x:v>33</x:v>
      </x:c>
      <x:c r="C217" s="3" t="str">
        <x:v>837305</x:v>
      </x:c>
      <x:c r="D217" s="3" t="str">
        <x:v>development</x:v>
      </x:c>
      <x:c r="E217" s="13" t="b">
        <x:v>0</x:v>
      </x:c>
      <x:c r="F217" s="3" t="str">
        <x:v>scoreAsc</x:v>
      </x:c>
      <x:c r="G217" s="3" t="str">
        <x:v>f56064130d879082d13a5a83a2898e60559cb887f9947f02ba7a0c5a339a8a07</x:v>
      </x:c>
      <x:c r="H217" s="3" t="str">
        <x:v>https://www.lge.co.kr/mkt/review/MD10738847/pdpReviewListPopup</x:v>
      </x:c>
    </x:row>
    <x:row r="218" ht="39" customHeight="1">
      <x:c r="A218" s="3" t="str">
        <x:v>balanced-pilot-v2</x:v>
      </x:c>
      <x:c r="B218" s="3" t="n">
        <x:v>34</x:v>
      </x:c>
      <x:c r="C218" s="3" t="str">
        <x:v>830617</x:v>
      </x:c>
      <x:c r="D218" s="3" t="str">
        <x:v>development</x:v>
      </x:c>
      <x:c r="E218" s="13" t="b">
        <x:v>0</x:v>
      </x:c>
      <x:c r="F218" s="3" t="str">
        <x:v>scoreAsc</x:v>
      </x:c>
      <x:c r="G218" s="3" t="str">
        <x:v>b6b2e310c945eb7a2435f3ee10278822feed6e2c55213c079fe4af72540800af</x:v>
      </x:c>
      <x:c r="H218" s="3" t="str">
        <x:v>https://www.lge.co.kr/mkt/review/MD10738847/pdpReviewListPopup</x:v>
      </x:c>
    </x:row>
    <x:row r="219" ht="39" customHeight="1">
      <x:c r="A219" s="3" t="str">
        <x:v>balanced-pilot-v2</x:v>
      </x:c>
      <x:c r="B219" s="3" t="n">
        <x:v>35</x:v>
      </x:c>
      <x:c r="C219" s="3" t="str">
        <x:v>826699</x:v>
      </x:c>
      <x:c r="D219" s="3" t="str">
        <x:v>independent_evaluation</x:v>
      </x:c>
      <x:c r="E219" s="13" t="b">
        <x:v>0</x:v>
      </x:c>
      <x:c r="F219" s="3" t="str">
        <x:v>scoreAsc</x:v>
      </x:c>
      <x:c r="G219" s="3" t="str">
        <x:v>7edf76aa2aec0e0cdf09b9481a31ff02d0ff4a7417b570acba22888bc5e87382</x:v>
      </x:c>
      <x:c r="H219" s="3" t="str">
        <x:v>https://www.lge.co.kr/mkt/review/MD10738847/pdpReviewListPopup</x:v>
      </x:c>
    </x:row>
    <x:row r="220" ht="39" customHeight="1">
      <x:c r="A220" s="3" t="str">
        <x:v>balanced-pilot-v2</x:v>
      </x:c>
      <x:c r="B220" s="3" t="n">
        <x:v>36</x:v>
      </x:c>
      <x:c r="C220" s="3" t="str">
        <x:v>817359</x:v>
      </x:c>
      <x:c r="D220" s="3" t="str">
        <x:v>demonstration</x:v>
      </x:c>
      <x:c r="E220" s="13" t="b">
        <x:v>0</x:v>
      </x:c>
      <x:c r="F220" s="3" t="str">
        <x:v>scoreAsc</x:v>
      </x:c>
      <x:c r="G220" s="3" t="str">
        <x:v>4826003c52cedca629039b26553eedaa1391c59b90ed2e16fad797eef13cd547</x:v>
      </x:c>
      <x:c r="H220" s="3" t="str">
        <x:v>https://www.lge.co.kr/mkt/review/MD10738847/pdpReviewListPopup</x:v>
      </x:c>
    </x:row>
    <x:row r="221" ht="39" customHeight="1">
      <x:c r="A221" s="3" t="str">
        <x:v>balanced-pilot-v2</x:v>
      </x:c>
      <x:c r="B221" s="3" t="n">
        <x:v>37</x:v>
      </x:c>
      <x:c r="C221" s="3" t="str">
        <x:v>816800</x:v>
      </x:c>
      <x:c r="D221" s="3" t="str">
        <x:v>independent_evaluation</x:v>
      </x:c>
      <x:c r="E221" s="13" t="b">
        <x:v>0</x:v>
      </x:c>
      <x:c r="F221" s="3" t="str">
        <x:v>scoreAsc</x:v>
      </x:c>
      <x:c r="G221" s="3" t="str">
        <x:v>555a8a9480e795e5f04310e6892842e174f8ab1c8a91653ab7163796b74f95c5</x:v>
      </x:c>
      <x:c r="H221" s="3" t="str">
        <x:v>https://www.lge.co.kr/mkt/review/MD10738847/pdpReviewListPopup</x:v>
      </x:c>
    </x:row>
    <x:row r="222" ht="39" customHeight="1">
      <x:c r="A222" s="3" t="str">
        <x:v>balanced-pilot-v2</x:v>
      </x:c>
      <x:c r="B222" s="3" t="n">
        <x:v>38</x:v>
      </x:c>
      <x:c r="C222" s="3" t="str">
        <x:v>816310</x:v>
      </x:c>
      <x:c r="D222" s="3" t="str">
        <x:v>development</x:v>
      </x:c>
      <x:c r="E222" s="13" t="b">
        <x:v>0</x:v>
      </x:c>
      <x:c r="F222" s="3" t="str">
        <x:v>scoreAsc</x:v>
      </x:c>
      <x:c r="G222" s="3" t="str">
        <x:v>33f3344e5147c3399b21b897a9977d4dcafe599cb1ccd50e3eb2df56e629bbfb</x:v>
      </x:c>
      <x:c r="H222" s="3" t="str">
        <x:v>https://www.lge.co.kr/mkt/review/MD10738847/pdpReviewListPopup</x:v>
      </x:c>
    </x:row>
    <x:row r="223" ht="39" customHeight="1">
      <x:c r="A223" s="3" t="str">
        <x:v>balanced-pilot-v2</x:v>
      </x:c>
      <x:c r="B223" s="3" t="n">
        <x:v>39</x:v>
      </x:c>
      <x:c r="C223" s="3" t="str">
        <x:v>816219</x:v>
      </x:c>
      <x:c r="D223" s="3" t="str">
        <x:v>independent_evaluation</x:v>
      </x:c>
      <x:c r="E223" s="13" t="b">
        <x:v>0</x:v>
      </x:c>
      <x:c r="F223" s="3" t="str">
        <x:v>scoreAsc</x:v>
      </x:c>
      <x:c r="G223" s="3" t="str">
        <x:v>4444cacc10214e027571edb12e87f2e64dd9481d21ca4b217f2867411267b9b6</x:v>
      </x:c>
      <x:c r="H223" s="3" t="str">
        <x:v>https://www.lge.co.kr/mkt/review/MD10738847/pdpReviewListPopup</x:v>
      </x:c>
    </x:row>
    <x:row r="224" ht="39" customHeight="1">
      <x:c r="A224" s="3" t="str">
        <x:v>balanced-pilot-v2</x:v>
      </x:c>
      <x:c r="B224" s="3" t="n">
        <x:v>40</x:v>
      </x:c>
      <x:c r="C224" s="3" t="str">
        <x:v>861736</x:v>
      </x:c>
      <x:c r="D224" s="3" t="str">
        <x:v>development</x:v>
      </x:c>
      <x:c r="E224" s="13" t="b">
        <x:v>0</x:v>
      </x:c>
      <x:c r="F224" s="3" t="str">
        <x:v>recent</x:v>
      </x:c>
      <x:c r="G224" s="3" t="str">
        <x:v>01212634dc874cc39e9b841948e2238aef2dd4091c27f0b1221a421201c4c9f9</x:v>
      </x:c>
      <x:c r="H224" s="3" t="str">
        <x:v>https://www.lge.co.kr/mkt/review/MD10492836/pdpReviewListPopup</x:v>
      </x:c>
    </x:row>
    <x:row r="225" ht="39" customHeight="1">
      <x:c r="A225" s="3" t="str">
        <x:v>balanced-pilot-v2</x:v>
      </x:c>
      <x:c r="B225" s="3" t="n">
        <x:v>41</x:v>
      </x:c>
      <x:c r="C225" s="3" t="str">
        <x:v>861674</x:v>
      </x:c>
      <x:c r="D225" s="3" t="str">
        <x:v>development</x:v>
      </x:c>
      <x:c r="E225" s="13" t="b">
        <x:v>0</x:v>
      </x:c>
      <x:c r="F225" s="3" t="str">
        <x:v>recent</x:v>
      </x:c>
      <x:c r="G225" s="3" t="str">
        <x:v>0915ea5c484bf443ba762506c2c5206f078736a1f3717437691d03befd1899ed</x:v>
      </x:c>
      <x:c r="H225" s="3" t="str">
        <x:v>https://www.lge.co.kr/mkt/review/MD10492836/pdpReviewListPopup</x:v>
      </x:c>
    </x:row>
    <x:row r="226" ht="39" customHeight="1">
      <x:c r="A226" s="3" t="str">
        <x:v>balanced-pilot-v2</x:v>
      </x:c>
      <x:c r="B226" s="3" t="n">
        <x:v>42</x:v>
      </x:c>
      <x:c r="C226" s="3" t="str">
        <x:v>861588</x:v>
      </x:c>
      <x:c r="D226" s="3" t="str">
        <x:v>independent_evaluation</x:v>
      </x:c>
      <x:c r="E226" s="13" t="b">
        <x:v>0</x:v>
      </x:c>
      <x:c r="F226" s="3" t="str">
        <x:v>recent</x:v>
      </x:c>
      <x:c r="G226" s="3" t="str">
        <x:v>0304905fe438650e86fc16e5c3df984adfb34bb1b49f10f2b4b6f35dc2f5c6af</x:v>
      </x:c>
      <x:c r="H226" s="3" t="str">
        <x:v>https://www.lge.co.kr/mkt/review/MD10492836/pdpReviewListPopup</x:v>
      </x:c>
    </x:row>
    <x:row r="227" ht="39" customHeight="1">
      <x:c r="A227" s="3" t="str">
        <x:v>balanced-pilot-v2</x:v>
      </x:c>
      <x:c r="B227" s="3" t="n">
        <x:v>43</x:v>
      </x:c>
      <x:c r="C227" s="3" t="str">
        <x:v>861559</x:v>
      </x:c>
      <x:c r="D227" s="3" t="str">
        <x:v>development</x:v>
      </x:c>
      <x:c r="E227" s="13" t="b">
        <x:v>0</x:v>
      </x:c>
      <x:c r="F227" s="3" t="str">
        <x:v>recent</x:v>
      </x:c>
      <x:c r="G227" s="3" t="str">
        <x:v>b50bca4ac22e556bcaea85d8fa306b2115c0d3b25d0adb7deb7b3cc7c8b8c15c</x:v>
      </x:c>
      <x:c r="H227" s="3" t="str">
        <x:v>https://www.lge.co.kr/mkt/review/MD10492836/pdpReviewListPopup</x:v>
      </x:c>
    </x:row>
    <x:row r="228" ht="39" customHeight="1">
      <x:c r="A228" s="3" t="str">
        <x:v>balanced-pilot-v2</x:v>
      </x:c>
      <x:c r="B228" s="3" t="n">
        <x:v>44</x:v>
      </x:c>
      <x:c r="C228" s="3" t="str">
        <x:v>861517</x:v>
      </x:c>
      <x:c r="D228" s="3" t="str">
        <x:v>demonstration</x:v>
      </x:c>
      <x:c r="E228" s="13" t="b">
        <x:v>0</x:v>
      </x:c>
      <x:c r="F228" s="3" t="str">
        <x:v>recent</x:v>
      </x:c>
      <x:c r="G228" s="3" t="str">
        <x:v>9d5c0fdb6806ce2528e1545950e6444c8e2ad6b53f5df204015b7b9365cdb5cb</x:v>
      </x:c>
      <x:c r="H228" s="3" t="str">
        <x:v>https://www.lge.co.kr/mkt/review/MD10492836/pdpReviewListPopup</x:v>
      </x:c>
    </x:row>
    <x:row r="229" ht="39" customHeight="1">
      <x:c r="A229" s="3" t="str">
        <x:v>balanced-pilot-v2</x:v>
      </x:c>
      <x:c r="B229" s="3" t="n">
        <x:v>45</x:v>
      </x:c>
      <x:c r="C229" s="3" t="str">
        <x:v>860946</x:v>
      </x:c>
      <x:c r="D229" s="3" t="str">
        <x:v>development</x:v>
      </x:c>
      <x:c r="E229" s="13" t="b">
        <x:v>0</x:v>
      </x:c>
      <x:c r="F229" s="3" t="str">
        <x:v>recent</x:v>
      </x:c>
      <x:c r="G229" s="3" t="str">
        <x:v>d21d14326adadd06bd73a4473765004ea86a1d8ff18e313bc376ffd2c0f89872</x:v>
      </x:c>
      <x:c r="H229" s="3" t="str">
        <x:v>https://www.lge.co.kr/mkt/review/MD10492836/pdpReviewListPopup</x:v>
      </x:c>
    </x:row>
    <x:row r="230" ht="39" customHeight="1">
      <x:c r="A230" s="3" t="str">
        <x:v>balanced-pilot-v2</x:v>
      </x:c>
      <x:c r="B230" s="3" t="n">
        <x:v>46</x:v>
      </x:c>
      <x:c r="C230" s="3" t="str">
        <x:v>860817</x:v>
      </x:c>
      <x:c r="D230" s="3" t="str">
        <x:v>development</x:v>
      </x:c>
      <x:c r="E230" s="13" t="b">
        <x:v>0</x:v>
      </x:c>
      <x:c r="F230" s="3" t="str">
        <x:v>recent</x:v>
      </x:c>
      <x:c r="G230" s="3" t="str">
        <x:v>ef8cf9ebd8462b918a4f7bee142f060e346d807eb8f0f054e92a47a69fb780e8</x:v>
      </x:c>
      <x:c r="H230" s="3" t="str">
        <x:v>https://www.lge.co.kr/mkt/review/MD10492836/pdpReviewListPopup</x:v>
      </x:c>
    </x:row>
    <x:row r="231" ht="39" customHeight="1">
      <x:c r="A231" s="3" t="str">
        <x:v>balanced-pilot-v2</x:v>
      </x:c>
      <x:c r="B231" s="3" t="n">
        <x:v>47</x:v>
      </x:c>
      <x:c r="C231" s="3" t="str">
        <x:v>860666</x:v>
      </x:c>
      <x:c r="D231" s="3" t="str">
        <x:v>development</x:v>
      </x:c>
      <x:c r="E231" s="13" t="b">
        <x:v>0</x:v>
      </x:c>
      <x:c r="F231" s="3" t="str">
        <x:v>recent</x:v>
      </x:c>
      <x:c r="G231" s="3" t="str">
        <x:v>c3f72e058f4bd13b591d2b681bf0d89a084a4be841f02cc2cdc0b1a0dfce7675</x:v>
      </x:c>
      <x:c r="H231" s="3" t="str">
        <x:v>https://www.lge.co.kr/mkt/review/MD10492836/pdpReviewListPopup</x:v>
      </x:c>
    </x:row>
    <x:row r="232" ht="39" customHeight="1">
      <x:c r="A232" s="3" t="str">
        <x:v>balanced-pilot-v2</x:v>
      </x:c>
      <x:c r="B232" s="3" t="n">
        <x:v>48</x:v>
      </x:c>
      <x:c r="C232" s="3" t="str">
        <x:v>860642</x:v>
      </x:c>
      <x:c r="D232" s="3" t="str">
        <x:v>independent_evaluation</x:v>
      </x:c>
      <x:c r="E232" s="13" t="b">
        <x:v>0</x:v>
      </x:c>
      <x:c r="F232" s="3" t="str">
        <x:v>recent</x:v>
      </x:c>
      <x:c r="G232" s="3" t="str">
        <x:v>44841c21ea44c77f757e4a34103a40cde7550d02ada38905d04ca6304945b517</x:v>
      </x:c>
      <x:c r="H232" s="3" t="str">
        <x:v>https://www.lge.co.kr/mkt/review/MD10492836/pdpReviewListPopup</x:v>
      </x:c>
    </x:row>
    <x:row r="233" ht="39" customHeight="1">
      <x:c r="A233" s="3" t="str">
        <x:v>balanced-pilot-v2</x:v>
      </x:c>
      <x:c r="B233" s="3" t="n">
        <x:v>49</x:v>
      </x:c>
      <x:c r="C233" s="3" t="str">
        <x:v>859976</x:v>
      </x:c>
      <x:c r="D233" s="3" t="str">
        <x:v>demonstration</x:v>
      </x:c>
      <x:c r="E233" s="13" t="b">
        <x:v>0</x:v>
      </x:c>
      <x:c r="F233" s="3" t="str">
        <x:v>recent</x:v>
      </x:c>
      <x:c r="G233" s="3" t="str">
        <x:v>a030851c6b8a73febc450b41d777d7daba9542b463c712d74b7d2a28b677783a</x:v>
      </x:c>
      <x:c r="H233" s="3" t="str">
        <x:v>https://www.lge.co.kr/mkt/review/MD10492836/pdpReviewListPopup</x:v>
      </x:c>
    </x:row>
    <x:row r="234" ht="39" customHeight="1">
      <x:c r="A234" s="3" t="str">
        <x:v>balanced-pilot-v2</x:v>
      </x:c>
      <x:c r="B234" s="3" t="n">
        <x:v>50</x:v>
      </x:c>
      <x:c r="C234" s="3" t="str">
        <x:v>762954</x:v>
      </x:c>
      <x:c r="D234" s="3" t="str">
        <x:v>demonstration</x:v>
      </x:c>
      <x:c r="E234" s="13" t="b">
        <x:v>0</x:v>
      </x:c>
      <x:c r="F234" s="3" t="str">
        <x:v>scoreAsc</x:v>
      </x:c>
      <x:c r="G234" s="3" t="str">
        <x:v>ab6fb4f74e9ffdfbdc8de1b5945b51d604cc00844c55ad22167f62d1de6ff130</x:v>
      </x:c>
      <x:c r="H234" s="3" t="str">
        <x:v>https://www.lge.co.kr/mkt/review/MD10492836/pdpReviewListPopup</x:v>
      </x:c>
    </x:row>
    <x:row r="235" ht="39" customHeight="1">
      <x:c r="A235" s="3" t="str">
        <x:v>balanced-pilot-v2</x:v>
      </x:c>
      <x:c r="B235" s="3" t="n">
        <x:v>51</x:v>
      </x:c>
      <x:c r="C235" s="3" t="str">
        <x:v>752651</x:v>
      </x:c>
      <x:c r="D235" s="3" t="str">
        <x:v>development</x:v>
      </x:c>
      <x:c r="E235" s="13" t="b">
        <x:v>0</x:v>
      </x:c>
      <x:c r="F235" s="3" t="str">
        <x:v>scoreAsc</x:v>
      </x:c>
      <x:c r="G235" s="3" t="str">
        <x:v>7798f3f8413d5b3dde2c0a82626e800799ee4b3b5ba8025e4ee65143611d0d85</x:v>
      </x:c>
      <x:c r="H235" s="3" t="str">
        <x:v>https://www.lge.co.kr/mkt/review/MD10492836/pdpReviewListPopup</x:v>
      </x:c>
    </x:row>
    <x:row r="236" ht="39" customHeight="1">
      <x:c r="A236" s="3" t="str">
        <x:v>balanced-pilot-v2</x:v>
      </x:c>
      <x:c r="B236" s="3" t="n">
        <x:v>52</x:v>
      </x:c>
      <x:c r="C236" s="3" t="str">
        <x:v>669584</x:v>
      </x:c>
      <x:c r="D236" s="3" t="str">
        <x:v>demonstration</x:v>
      </x:c>
      <x:c r="E236" s="13" t="b">
        <x:v>0</x:v>
      </x:c>
      <x:c r="F236" s="3" t="str">
        <x:v>scoreAsc</x:v>
      </x:c>
      <x:c r="G236" s="3" t="str">
        <x:v>317c02297113f54ddb0c7cc1e9b95df1119cb6ba3c8059fc5f32faaccf998d3c</x:v>
      </x:c>
      <x:c r="H236" s="3" t="str">
        <x:v>https://www.lge.co.kr/mkt/review/MD10492836/pdpReviewListPopup</x:v>
      </x:c>
    </x:row>
    <x:row r="237" ht="39" customHeight="1">
      <x:c r="A237" s="3" t="str">
        <x:v>balanced-pilot-v2</x:v>
      </x:c>
      <x:c r="B237" s="3" t="n">
        <x:v>53</x:v>
      </x:c>
      <x:c r="C237" s="3" t="str">
        <x:v>645400</x:v>
      </x:c>
      <x:c r="D237" s="3" t="str">
        <x:v>development</x:v>
      </x:c>
      <x:c r="E237" s="13" t="b">
        <x:v>0</x:v>
      </x:c>
      <x:c r="F237" s="3" t="str">
        <x:v>scoreAsc</x:v>
      </x:c>
      <x:c r="G237" s="3" t="str">
        <x:v>eb1547cf996de76f006e1c7d24a4aa0245f0eeb785856d8caf099fba5457e939</x:v>
      </x:c>
      <x:c r="H237" s="3" t="str">
        <x:v>https://www.lge.co.kr/mkt/review/MD10492836/pdpReviewListPopup</x:v>
      </x:c>
    </x:row>
    <x:row r="238" ht="39" customHeight="1">
      <x:c r="A238" s="3" t="str">
        <x:v>balanced-pilot-v2</x:v>
      </x:c>
      <x:c r="B238" s="3" t="n">
        <x:v>54</x:v>
      </x:c>
      <x:c r="C238" s="3" t="str">
        <x:v>457803</x:v>
      </x:c>
      <x:c r="D238" s="3" t="str">
        <x:v>quarantine</x:v>
      </x:c>
      <x:c r="E238" s="13" t="b">
        <x:v>0</x:v>
      </x:c>
      <x:c r="F238" s="3" t="str">
        <x:v>scoreAsc</x:v>
      </x:c>
      <x:c r="G238" s="3" t="str">
        <x:v>0337c4fba77eb508d5f0b014552278196919c26000a6d68a84dcc1191bc3f01f</x:v>
      </x:c>
      <x:c r="H238" s="3" t="str">
        <x:v>https://www.lge.co.kr/mkt/review/MD10492836/pdpReviewListPopup</x:v>
      </x:c>
    </x:row>
    <x:row r="239" ht="39" customHeight="1">
      <x:c r="A239" s="3" t="str">
        <x:v>balanced-pilot-v2</x:v>
      </x:c>
      <x:c r="B239" s="3" t="n">
        <x:v>55</x:v>
      </x:c>
      <x:c r="C239" s="3" t="str">
        <x:v>440531</x:v>
      </x:c>
      <x:c r="D239" s="3" t="str">
        <x:v>development</x:v>
      </x:c>
      <x:c r="E239" s="13" t="b">
        <x:v>0</x:v>
      </x:c>
      <x:c r="F239" s="3" t="str">
        <x:v>scoreAsc</x:v>
      </x:c>
      <x:c r="G239" s="3" t="str">
        <x:v>4a3949057b0aedb4d50e506416d0e377f9c127f966665bb5442a4ad5c87a654e</x:v>
      </x:c>
      <x:c r="H239" s="3" t="str">
        <x:v>https://www.lge.co.kr/mkt/review/MD10492836/pdpReviewListPopup</x:v>
      </x:c>
    </x:row>
    <x:row r="240" ht="39" customHeight="1">
      <x:c r="A240" s="3" t="str">
        <x:v>balanced-pilot-v2</x:v>
      </x:c>
      <x:c r="B240" s="3" t="n">
        <x:v>56</x:v>
      </x:c>
      <x:c r="C240" s="3" t="str">
        <x:v>503624</x:v>
      </x:c>
      <x:c r="D240" s="3" t="str">
        <x:v>development</x:v>
      </x:c>
      <x:c r="E240" s="13" t="b">
        <x:v>0</x:v>
      </x:c>
      <x:c r="F240" s="3" t="str">
        <x:v>scoreAsc</x:v>
      </x:c>
      <x:c r="G240" s="3" t="str">
        <x:v>79da8cc53da2b2c3e76833d97371a73eb599a5f538561f7a31e0e5de0fd6639d</x:v>
      </x:c>
      <x:c r="H240" s="3" t="str">
        <x:v>https://www.lge.co.kr/mkt/review/MD10492836/pdpReviewListPopup</x:v>
      </x:c>
    </x:row>
    <x:row r="241" ht="39" customHeight="1">
      <x:c r="A241" s="3" t="str">
        <x:v>balanced-pilot-v2</x:v>
      </x:c>
      <x:c r="B241" s="3" t="n">
        <x:v>57</x:v>
      </x:c>
      <x:c r="C241" s="3" t="str">
        <x:v>773516</x:v>
      </x:c>
      <x:c r="D241" s="3" t="str">
        <x:v>development</x:v>
      </x:c>
      <x:c r="E241" s="13" t="b">
        <x:v>0</x:v>
      </x:c>
      <x:c r="F241" s="3" t="str">
        <x:v>scoreAsc</x:v>
      </x:c>
      <x:c r="G241" s="3" t="str">
        <x:v>a748bde1e26339683532925bf3bcd5d9acfc96c0554a3859b63a2c939ac7bafe</x:v>
      </x:c>
      <x:c r="H241" s="3" t="str">
        <x:v>https://www.lge.co.kr/mkt/review/MD10492836/pdpReviewListPopup</x:v>
      </x:c>
    </x:row>
    <x:row r="242" ht="39" customHeight="1">
      <x:c r="A242" s="3" t="str">
        <x:v>balanced-pilot-v2</x:v>
      </x:c>
      <x:c r="B242" s="3" t="n">
        <x:v>58</x:v>
      </x:c>
      <x:c r="C242" s="3" t="str">
        <x:v>726743</x:v>
      </x:c>
      <x:c r="D242" s="3" t="str">
        <x:v>development</x:v>
      </x:c>
      <x:c r="E242" s="13" t="b">
        <x:v>0</x:v>
      </x:c>
      <x:c r="F242" s="3" t="str">
        <x:v>scoreAsc</x:v>
      </x:c>
      <x:c r="G242" s="3" t="str">
        <x:v>7c9067ed06156de620291710e6c5d6ae460c459e032d7234b0583054e7105b4c</x:v>
      </x:c>
      <x:c r="H242" s="3" t="str">
        <x:v>https://www.lge.co.kr/mkt/review/MD10492836/pdpReviewListPopup</x:v>
      </x:c>
    </x:row>
    <x:row r="243" ht="39" customHeight="1">
      <x:c r="A243" s="20" t="str">
        <x:v>balanced-pilot-v2</x:v>
      </x:c>
      <x:c r="B243" s="20" t="n">
        <x:v>59</x:v>
      </x:c>
      <x:c r="C243" s="20" t="str">
        <x:v>658396</x:v>
      </x:c>
      <x:c r="D243" s="20" t="str">
        <x:v>independent_evaluation</x:v>
      </x:c>
      <x:c r="E243" s="21" t="b">
        <x:v>0</x:v>
      </x:c>
      <x:c r="F243" s="20" t="str">
        <x:v>scoreAsc</x:v>
      </x:c>
      <x:c r="G243" s="20" t="str">
        <x:v>f0462e1df538e093a7e6cca0f8211ec556c05803e5cf6e89872f98c92280ceaf</x:v>
      </x:c>
      <x:c r="H243" s="20" t="str">
        <x:v>https://www.lge.co.kr/mkt/review/MD10492836/pdpReviewListPopup</x:v>
      </x:c>
    </x:row>
  </x:sheetData>
  <x:pageMargins left="0.7" right="0.7" top="0.75" bottom="0.75" header="0.3" footer="0.3"/>
  <x:tableParts count="1">
    <x:tablePart xmlns:r="http://schemas.openxmlformats.org/officeDocument/2006/relationships" r:id="R4b7b55b9bee74844"/>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1299991607666" hidden="0" customWidth="1"/>
    <x:col min="2" max="2" width="13.75" hidden="0" customWidth="1"/>
    <x:col min="3" max="3" width="51.25" hidden="0" customWidth="1"/>
    <x:col min="4" max="4" width="12.5" hidden="0" customWidth="1"/>
    <x:col min="5" max="5" width="37.5" hidden="0" customWidth="1"/>
    <x:col min="6" max="6" width="37.5" hidden="0" customWidth="1"/>
    <x:col min="7" max="7" width="52.5" hidden="0" customWidth="1"/>
  </x:cols>
  <x:sheetData>
    <x:row r="1">
      <x:c r="A1" s="2" t="str">
        <x:v>표시 제품과 출처</x:v>
      </x:c>
      <x:c r="B1" s="1"/>
      <x:c r="C1" s="1"/>
      <x:c r="D1" s="1"/>
      <x:c r="E1" s="1"/>
      <x:c r="F1" s="1"/>
      <x:c r="G1" s="1"/>
    </x:row>
    <x:row r="2" ht="57" customHeight="1">
      <x:c r="A2" s="4" t="str">
        <x:v>표시 제품 18개. 정확 구매 제품을 뜻하지 않는다. 신규 15모델의 설명서 판본은 미확인이다.</x:v>
      </x:c>
      <x:c r="B2" s="1"/>
      <x:c r="C2" s="1"/>
      <x:c r="D2" s="1"/>
      <x:c r="E2" s="1"/>
      <x:c r="F2" s="1"/>
      <x:c r="G2" s="1"/>
    </x:row>
    <x:row r="3">
      <x:c r="A3" s="1"/>
      <x:c r="B3" s="1"/>
      <x:c r="C3" s="1"/>
      <x:c r="D3" s="1"/>
      <x:c r="E3" s="1"/>
      <x:c r="F3" s="1"/>
      <x:c r="G3" s="1"/>
    </x:row>
    <x:row r="4" ht="34.5" customHeight="1">
      <x:c r="A4" s="7" t="str">
        <x:v>표시 모델</x:v>
      </x:c>
      <x:c r="B4" s="7" t="str">
        <x:v>제품군</x:v>
      </x:c>
      <x:c r="C4" s="7" t="str">
        <x:v>제품명</x:v>
      </x:c>
      <x:c r="D4" s="7" t="str">
        <x:v>고유 후기</x:v>
      </x:c>
      <x:c r="E4" s="7" t="str">
        <x:v>참조 설명서 판본</x:v>
      </x:c>
      <x:c r="F4" s="7" t="str">
        <x:v>판본 확인 상태</x:v>
      </x:c>
      <x:c r="G4" s="7" t="str">
        <x:v>제품 페이지 URL</x:v>
      </x:c>
    </x:row>
    <x:row r="5" ht="55.5" customHeight="1">
      <x:c r="A5" s="3" t="str">
        <x:v>T876MEE1H1</x:v>
      </x:c>
      <x:c r="B5" s="3" t="str">
        <x:v>fridge</x:v>
      </x:c>
      <x:c r="C5" s="3" t="str">
        <x:v>LG 디오스 AI 오브제컬렉션 냉장고 (매직스페이스)</x:v>
      </x:c>
      <x:c r="D5" s="3" t="n">
        <x:f>COUNTIF('리뷰'!$C$5:$C$242,A5)</x:f>
        <x:v>30</x:v>
      </x:c>
      <x:c r="E5" s="3" t="str">
        <x:v>MFL71401557 Rev.00_032526</x:v>
      </x:c>
      <x:c r="F5" s="3" t="str">
        <x:v>existing_verified_public_manual</x:v>
      </x:c>
      <x:c r="G5" s="3" t="str">
        <x:v>https://www.lge.co.kr/product/refrigerators/t876mee1h1?modelId=MD10758826&amp;pdpType=PURCHASE</x:v>
      </x:c>
    </x:row>
    <x:row r="6" ht="55.5" customHeight="1">
      <x:c r="A6" s="3" t="str">
        <x:v>S834MEE111</x:v>
      </x:c>
      <x:c r="B6" s="3" t="str">
        <x:v>fridge</x:v>
      </x:c>
      <x:c r="C6" s="3" t="str">
        <x:v>LG 디오스 AI 오브제컬렉션 냉장고 (양문형, 매직스페이스)</x:v>
      </x:c>
      <x:c r="D6" s="3" t="n">
        <x:f>COUNTIF('리뷰'!$C$5:$C$242,A6)</x:f>
        <x:v>10</x:v>
      </x:c>
      <x:c r="E6" s="3"/>
      <x:c r="F6" s="3" t="str">
        <x:v>not_yet_verified</x:v>
      </x:c>
      <x:c r="G6" s="3" t="str">
        <x:v>https://www.lge.co.kr/product/refrigerators/s834mee111?modelId=MD10635830&amp;pdpType=PURCHASE</x:v>
      </x:c>
    </x:row>
    <x:row r="7" ht="55.5" customHeight="1">
      <x:c r="A7" s="3" t="str">
        <x:v>S836MEE022</x:v>
      </x:c>
      <x:c r="B7" s="3" t="str">
        <x:v>fridge</x:v>
      </x:c>
      <x:c r="C7" s="3" t="str">
        <x:v>LG 디오스 AI 오브제컬렉션 냉장고 (양문형)</x:v>
      </x:c>
      <x:c r="D7" s="3" t="n">
        <x:f>COUNTIF('리뷰'!$C$5:$C$242,A7)</x:f>
        <x:v>10</x:v>
      </x:c>
      <x:c r="E7" s="3"/>
      <x:c r="F7" s="3" t="str">
        <x:v>not_yet_verified</x:v>
      </x:c>
      <x:c r="G7" s="3" t="str">
        <x:v>https://www.lge.co.kr/product/refrigerators/s836mee022?modelId=MD10559863&amp;pdpType=PURCHASE</x:v>
      </x:c>
    </x:row>
    <x:row r="8" ht="55.5" customHeight="1">
      <x:c r="A8" s="3" t="str">
        <x:v>T873MEE111</x:v>
      </x:c>
      <x:c r="B8" s="3" t="str">
        <x:v>fridge</x:v>
      </x:c>
      <x:c r="C8" s="3" t="str">
        <x:v>LG 디오스 오브제컬렉션 냉장고 (매직스페이스)</x:v>
      </x:c>
      <x:c r="D8" s="3" t="n">
        <x:f>COUNTIF('리뷰'!$C$5:$C$242,A8)</x:f>
        <x:v>10</x:v>
      </x:c>
      <x:c r="E8" s="3"/>
      <x:c r="F8" s="3" t="str">
        <x:v>not_yet_verified</x:v>
      </x:c>
      <x:c r="G8" s="3" t="str">
        <x:v>https://www.lge.co.kr/product/refrigerators/t873mee111?modelId=MD09322826&amp;pdpType=PURCHASE</x:v>
      </x:c>
    </x:row>
    <x:row r="9" ht="55.5" customHeight="1">
      <x:c r="A9" s="3" t="str">
        <x:v>D502MEE33</x:v>
      </x:c>
      <x:c r="B9" s="3" t="str">
        <x:v>fridge</x:v>
      </x:c>
      <x:c r="C9" s="3" t="str">
        <x:v>LG 일반냉장고 오브제컬렉션</x:v>
      </x:c>
      <x:c r="D9" s="3" t="n">
        <x:f>COUNTIF('리뷰'!$C$5:$C$242,A9)</x:f>
        <x:v>10</x:v>
      </x:c>
      <x:c r="E9" s="3"/>
      <x:c r="F9" s="3" t="str">
        <x:v>not_yet_verified</x:v>
      </x:c>
      <x:c r="G9" s="3" t="str">
        <x:v>https://www.lge.co.kr/product/refrigerators/d502mee33?modelId=MD09811829&amp;pdpType=PURCHASE</x:v>
      </x:c>
    </x:row>
    <x:row r="10" ht="55.5" customHeight="1">
      <x:c r="A10" s="3" t="str">
        <x:v>Q405MEE133</x:v>
      </x:c>
      <x:c r="B10" s="3" t="str">
        <x:v>fridge</x:v>
      </x:c>
      <x:c r="C10" s="3" t="str">
        <x:v>LG 모던엣지 AI 오브제컬렉션 Fit &amp; Max</x:v>
      </x:c>
      <x:c r="D10" s="3" t="n">
        <x:f>COUNTIF('리뷰'!$C$5:$C$242,A10)</x:f>
        <x:v>9</x:v>
      </x:c>
      <x:c r="E10" s="3"/>
      <x:c r="F10" s="3" t="str">
        <x:v>not_yet_verified</x:v>
      </x:c>
      <x:c r="G10" s="3" t="str">
        <x:v>https://www.lge.co.kr/product/refrigerators/q405mee133?modelId=MD10715832&amp;pdpType=PURCHASE</x:v>
      </x:c>
    </x:row>
    <x:row r="11" ht="55.5" customHeight="1">
      <x:c r="A11" s="3" t="str">
        <x:v>MW20GDN</x:v>
      </x:c>
      <x:c r="B11" s="3" t="str">
        <x:v>microwave</x:v>
      </x:c>
      <x:c r="C11" s="3" t="str">
        <x:v>LG 전자레인지 20L</x:v>
      </x:c>
      <x:c r="D11" s="3" t="n">
        <x:f>COUNTIF('리뷰'!$C$5:$C$242,A11)</x:f>
        <x:v>10</x:v>
      </x:c>
      <x:c r="E11" s="3"/>
      <x:c r="F11" s="3" t="str">
        <x:v>not_yet_verified</x:v>
      </x:c>
      <x:c r="G11" s="3" t="str">
        <x:v>https://www.lge.co.kr/product/microwaves-and-ovens/mw20gdn?modelId=MD10101826&amp;pdpType=PURCHASE</x:v>
      </x:c>
    </x:row>
    <x:row r="12" ht="55.5" customHeight="1">
      <x:c r="A12" s="3" t="str">
        <x:v>MW23FDI</x:v>
      </x:c>
      <x:c r="B12" s="3" t="str">
        <x:v>microwave</x:v>
      </x:c>
      <x:c r="C12" s="3" t="str">
        <x:v>LG 디오스 오브제컬렉션 전자레인지 23L</x:v>
      </x:c>
      <x:c r="D12" s="3" t="n">
        <x:f>COUNTIF('리뷰'!$C$5:$C$242,A12)</x:f>
        <x:v>29</x:v>
      </x:c>
      <x:c r="E12" s="3" t="str">
        <x:v>MFL68822538 Rev.00_120925</x:v>
      </x:c>
      <x:c r="F12" s="3" t="str">
        <x:v>existing_verified_public_manual</x:v>
      </x:c>
      <x:c r="G12" s="3" t="str">
        <x:v>https://www.lge.co.kr/product/microwaves-and-ovens/mw23fdi?modelId=MD10738847&amp;pdpType=PURCHASE</x:v>
      </x:c>
    </x:row>
    <x:row r="13" ht="55.5" customHeight="1">
      <x:c r="A13" s="3" t="str">
        <x:v>MW30EDN</x:v>
      </x:c>
      <x:c r="B13" s="3" t="str">
        <x:v>microwave</x:v>
      </x:c>
      <x:c r="C13" s="3" t="str">
        <x:v>LG 전자레인지 30L</x:v>
      </x:c>
      <x:c r="D13" s="3" t="n">
        <x:f>COUNTIF('리뷰'!$C$5:$C$242,A13)</x:f>
        <x:v>10</x:v>
      </x:c>
      <x:c r="E13" s="3"/>
      <x:c r="F13" s="3" t="str">
        <x:v>not_yet_verified</x:v>
      </x:c>
      <x:c r="G13" s="3" t="str">
        <x:v>https://www.lge.co.kr/product/microwaves-and-ovens/mw30edn?modelId=MD10817828&amp;pdpType=PURCHASE</x:v>
      </x:c>
    </x:row>
    <x:row r="14" ht="55.5" customHeight="1">
      <x:c r="A14" s="3" t="str">
        <x:v>MW25B</x:v>
      </x:c>
      <x:c r="B14" s="3" t="str">
        <x:v>microwave</x:v>
      </x:c>
      <x:c r="C14" s="3" t="str">
        <x:v>LG 디오스 전자레인지 25L</x:v>
      </x:c>
      <x:c r="D14" s="3" t="n">
        <x:f>COUNTIF('리뷰'!$C$5:$C$242,A14)</x:f>
        <x:v>10</x:v>
      </x:c>
      <x:c r="E14" s="3"/>
      <x:c r="F14" s="3" t="str">
        <x:v>not_yet_verified</x:v>
      </x:c>
      <x:c r="G14" s="3" t="str">
        <x:v>https://www.lge.co.kr/product/microwaves-and-ovens/mw25b?modelId=MD08039645&amp;pdpType=PURCHASE</x:v>
      </x:c>
    </x:row>
    <x:row r="15" ht="55.5" customHeight="1">
      <x:c r="A15" s="3" t="str">
        <x:v>MWJ25E</x:v>
      </x:c>
      <x:c r="B15" s="3" t="str">
        <x:v>microwave</x:v>
      </x:c>
      <x:c r="C15" s="3" t="str">
        <x:v>LG 디오스 오브제컬렉션 전자레인지 25L MWJ25E</x:v>
      </x:c>
      <x:c r="D15" s="3" t="n">
        <x:f>COUNTIF('리뷰'!$C$5:$C$242,A15)</x:f>
        <x:v>10</x:v>
      </x:c>
      <x:c r="E15" s="3"/>
      <x:c r="F15" s="3" t="str">
        <x:v>not_yet_verified</x:v>
      </x:c>
      <x:c r="G15" s="3" t="str">
        <x:v>https://www.lge.co.kr/product/microwaves-and-ovens/mwj25e?modelId=MD09144829&amp;pdpType=PURCHASE</x:v>
      </x:c>
    </x:row>
    <x:row r="16" ht="55.5" customHeight="1">
      <x:c r="A16" s="3" t="str">
        <x:v>MWE25HD</x:v>
      </x:c>
      <x:c r="B16" s="3" t="str">
        <x:v>microwave</x:v>
      </x:c>
      <x:c r="C16" s="3" t="str">
        <x:v>LG 디오스 오브제컬렉션 전자레인지 25L MWE25HD</x:v>
      </x:c>
      <x:c r="D16" s="3" t="n">
        <x:f>COUNTIF('리뷰'!$C$5:$C$242,A16)</x:f>
        <x:v>10</x:v>
      </x:c>
      <x:c r="E16" s="3"/>
      <x:c r="F16" s="3" t="str">
        <x:v>not_yet_verified</x:v>
      </x:c>
      <x:c r="G16" s="3" t="str">
        <x:v>https://www.lge.co.kr/product/microwaves-and-ovens/mwe25hd?modelId=MD10739828&amp;pdpType=PURCHASE</x:v>
      </x:c>
    </x:row>
    <x:row r="17" ht="55.5" customHeight="1">
      <x:c r="A17" s="3" t="str">
        <x:v>DUE6BGL2E</x:v>
      </x:c>
      <x:c r="B17" s="3" t="str">
        <x:v>dishwasher</x:v>
      </x:c>
      <x:c r="C17" s="3" t="str">
        <x:v>LG 디오스 오브제컬렉션 식기세척기 (빌트인/14인용)</x:v>
      </x:c>
      <x:c r="D17" s="3" t="n">
        <x:f>COUNTIF('리뷰'!$C$5:$C$242,A17)</x:f>
        <x:v>30</x:v>
      </x:c>
      <x:c r="E17" s="3" t="str">
        <x:v>MFL71959117 Rev.07_030626</x:v>
      </x:c>
      <x:c r="F17" s="3" t="str">
        <x:v>existing_verified_public_manual</x:v>
      </x:c>
      <x:c r="G17" s="3" t="str">
        <x:v>https://www.lge.co.kr/product/dishwashers/due6bgl2e?modelId=MD10492836&amp;pdpType=PURCHASE</x:v>
      </x:c>
    </x:row>
    <x:row r="18" ht="55.5" customHeight="1">
      <x:c r="A18" s="3" t="str">
        <x:v>DUE4BGL1E</x:v>
      </x:c>
      <x:c r="B18" s="3" t="str">
        <x:v>dishwasher</x:v>
      </x:c>
      <x:c r="C18" s="3" t="str">
        <x:v>LG 디오스 오브제컬렉션 식기세척기 (빌트인/12인용) 스팀</x:v>
      </x:c>
      <x:c r="D18" s="3" t="n">
        <x:f>COUNTIF('리뷰'!$C$5:$C$242,A18)</x:f>
        <x:v>10</x:v>
      </x:c>
      <x:c r="E18" s="3"/>
      <x:c r="F18" s="3" t="str">
        <x:v>not_yet_verified</x:v>
      </x:c>
      <x:c r="G18" s="3" t="str">
        <x:v>https://www.lge.co.kr/product/dishwashers/due4bgl1e?modelId=MD10804836&amp;pdpType=PURCHASE</x:v>
      </x:c>
    </x:row>
    <x:row r="19" ht="55.5" customHeight="1">
      <x:c r="A19" s="3" t="str">
        <x:v>DUE1BGL1E</x:v>
      </x:c>
      <x:c r="B19" s="3" t="str">
        <x:v>dishwasher</x:v>
      </x:c>
      <x:c r="C19" s="3" t="str">
        <x:v>LG 디오스 오브제컬렉션 식기세척기 (빌트인/12인용)</x:v>
      </x:c>
      <x:c r="D19" s="3" t="n">
        <x:f>COUNTIF('리뷰'!$C$5:$C$242,A19)</x:f>
        <x:v>10</x:v>
      </x:c>
      <x:c r="E19" s="3"/>
      <x:c r="F19" s="3" t="str">
        <x:v>not_yet_verified</x:v>
      </x:c>
      <x:c r="G19" s="3" t="str">
        <x:v>https://www.lge.co.kr/product/dishwashers/due1bgl1e?modelId=MD10804837&amp;pdpType=PURCHASE</x:v>
      </x:c>
    </x:row>
    <x:row r="20" ht="55.5" customHeight="1">
      <x:c r="A20" s="3" t="str">
        <x:v>DUE5BGL1E</x:v>
      </x:c>
      <x:c r="B20" s="3" t="str">
        <x:v>dishwasher</x:v>
      </x:c>
      <x:c r="C20" s="3" t="str">
        <x:v>LG 디오스 오브제컬렉션 식기세척기 (빌트인/14인용) DUE5BGL1E</x:v>
      </x:c>
      <x:c r="D20" s="3" t="n">
        <x:f>COUNTIF('리뷰'!$C$5:$C$242,A20)</x:f>
        <x:v>10</x:v>
      </x:c>
      <x:c r="E20" s="3"/>
      <x:c r="F20" s="3" t="str">
        <x:v>not_yet_verified</x:v>
      </x:c>
      <x:c r="G20" s="3" t="str">
        <x:v>https://www.lge.co.kr/product/dishwashers/due5bgl1e?modelId=MD10492841&amp;pdpType=PURCHASE</x:v>
      </x:c>
    </x:row>
    <x:row r="21" ht="55.5" customHeight="1">
      <x:c r="A21" s="3" t="str">
        <x:v>DUE5BGE</x:v>
      </x:c>
      <x:c r="B21" s="3" t="str">
        <x:v>dishwasher</x:v>
      </x:c>
      <x:c r="C21" s="3" t="str">
        <x:v>LG 디오스 오브제컬렉션 식기세척기 (빌트인/14인용) DUE5BGE</x:v>
      </x:c>
      <x:c r="D21" s="3" t="n">
        <x:f>COUNTIF('리뷰'!$C$5:$C$242,A21)</x:f>
        <x:v>10</x:v>
      </x:c>
      <x:c r="E21" s="3"/>
      <x:c r="F21" s="3" t="str">
        <x:v>not_yet_verified</x:v>
      </x:c>
      <x:c r="G21" s="3" t="str">
        <x:v>https://www.lge.co.kr/product/dishwashers/due5bge?modelId=MD10492839&amp;pdpType=PURCHASE</x:v>
      </x:c>
    </x:row>
    <x:row r="22" ht="55.5" customHeight="1">
      <x:c r="A22" s="3" t="str">
        <x:v>DFE5BGE</x:v>
      </x:c>
      <x:c r="B22" s="3" t="str">
        <x:v>dishwasher</x:v>
      </x:c>
      <x:c r="C22" s="3" t="str">
        <x:v>LG 디오스 오브제컬렉션 식기세척기 (프리스탠딩/14인용)</x:v>
      </x:c>
      <x:c r="D22" s="3" t="n">
        <x:f>COUNTIF('리뷰'!$C$5:$C$242,A22)</x:f>
        <x:v>10</x:v>
      </x:c>
      <x:c r="E22" s="3"/>
      <x:c r="F22" s="3" t="str">
        <x:v>not_yet_verified</x:v>
      </x:c>
      <x:c r="G22" s="3" t="str">
        <x:v>https://www.lge.co.kr/product/dishwashers/dfe5bge?modelId=MD10492840&amp;pdpType=PURCHASE</x:v>
      </x:c>
    </x:row>
    <x:row r="23">
      <x:c r="A23" s="1"/>
      <x:c r="B23" s="1"/>
      <x:c r="C23" s="1"/>
      <x:c r="D23" s="1"/>
      <x:c r="E23" s="1"/>
      <x:c r="F23" s="1"/>
      <x:c r="G23" s="1"/>
    </x:row>
    <x:row r="24">
      <x:c r="A24" s="1"/>
      <x:c r="B24" s="1"/>
      <x:c r="C24" s="1"/>
      <x:c r="D24" s="1"/>
      <x:c r="E24" s="1"/>
      <x:c r="F24" s="1"/>
      <x:c r="G24" s="1"/>
    </x:row>
    <x:row r="25" ht="27" customHeight="1">
      <x:c r="A25" s="23" t="str">
        <x:v>고정 입력 파일</x:v>
      </x:c>
      <x:c r="B25" s="23" t="str">
        <x:v>SHA256</x:v>
      </x:c>
      <x:c r="C25" s="23" t="str">
        <x:v>불변 출처 URL</x:v>
      </x:c>
      <x:c r="D25" s="1"/>
      <x:c r="E25" s="1"/>
      <x:c r="F25" s="1"/>
      <x:c r="G25" s="1"/>
    </x:row>
    <x:row r="26" ht="112.5" customHeight="1">
      <x:c r="A26" s="3" t="str">
        <x:v>data/research/r5-public-reviews-20261007/fixed18/records.json</x:v>
      </x:c>
      <x:c r="B26" s="3" t="str">
        <x:v>98830d3078d5c14443ee672a4fd6d5ae7fbafe6c77ea15ab6b14828ad2d5ad6f</x:v>
      </x:c>
      <x:c r="C26" s="3" t="str">
        <x:v>https://github.com/2026-LG-kitchen-chicken-team/lg-ax-2026/blob/58feb9c30fc5faae1cc8acfb0ff409106a6d7174/data/research/r5-public-reviews-20261007/fixed18/records.json</x:v>
      </x:c>
      <x:c r="D26" s="1"/>
      <x:c r="E26" s="1"/>
      <x:c r="F26" s="1"/>
      <x:c r="G26" s="1"/>
    </x:row>
    <x:row r="27" ht="112.5" customHeight="1">
      <x:c r="A27" s="3" t="str">
        <x:v>data/research/r5-public-reviews-20261007/fixed18/products.json</x:v>
      </x:c>
      <x:c r="B27" s="3" t="str">
        <x:v>5575df7a988d919eedc16a050914d192e30fc8eff1e0ad7b5a97c6328adb9d8b</x:v>
      </x:c>
      <x:c r="C27" s="3" t="str">
        <x:v>https://github.com/2026-LG-kitchen-chicken-team/lg-ax-2026/blob/58feb9c30fc5faae1cc8acfb0ff409106a6d7174/data/research/r5-public-reviews-20261007/fixed18/products.json</x:v>
      </x:c>
      <x:c r="D27" s="1"/>
      <x:c r="E27" s="1"/>
      <x:c r="F27" s="1"/>
      <x:c r="G27" s="1"/>
    </x:row>
    <x:row r="28" ht="112.5" customHeight="1">
      <x:c r="A28" s="3" t="str">
        <x:v>data/research/r5-public-reviews-20261007/fixed18/manifest.json</x:v>
      </x:c>
      <x:c r="B28" s="3" t="str">
        <x:v>3a35518787c1959d29dd11f6a651194f7b7a6be971e392a470cff3da240c895d</x:v>
      </x:c>
      <x:c r="C28" s="3" t="str">
        <x:v>https://github.com/2026-LG-kitchen-chicken-team/lg-ax-2026/blob/58feb9c30fc5faae1cc8acfb0ff409106a6d7174/data/research/r5-public-reviews-20261007/fixed18/manifest.json</x:v>
      </x:c>
      <x:c r="D28" s="1"/>
      <x:c r="E28" s="1"/>
      <x:c r="F28" s="1"/>
      <x:c r="G28" s="1"/>
    </x:row>
    <x:row r="29" ht="112.5" customHeight="1">
      <x:c r="A29" s="3" t="str">
        <x:v>data/research/r5-public-reviews-20261007/balanced-pilot-v2/records.json</x:v>
      </x:c>
      <x:c r="B29" s="3" t="str">
        <x:v>d8ac06a75f53eac2fc2db469d78fa967bbc20883048aa44190217fd19d26fb7d</x:v>
      </x:c>
      <x:c r="C29" s="3" t="str">
        <x:v>https://github.com/2026-LG-kitchen-chicken-team/lg-ax-2026/blob/58feb9c30fc5faae1cc8acfb0ff409106a6d7174/data/research/r5-public-reviews-20261007/balanced-pilot-v2/records.json</x:v>
      </x:c>
      <x:c r="D29" s="1"/>
      <x:c r="E29" s="1"/>
      <x:c r="F29" s="1"/>
      <x:c r="G29" s="1"/>
    </x:row>
    <x:row r="30" ht="112.5" customHeight="1">
      <x:c r="A30" s="3" t="str">
        <x:v>data/research/r5-public-reviews-20261007/balanced-pilot-v2/new_unique_records.json</x:v>
      </x:c>
      <x:c r="B30" s="3" t="str">
        <x:v>2929d20a4cb12c9ff20faa9d4fc1db8b5a14ae947c374f0b5166290178a2f3b2</x:v>
      </x:c>
      <x:c r="C30" s="3" t="str">
        <x:v>https://github.com/2026-LG-kitchen-chicken-team/lg-ax-2026/blob/58feb9c30fc5faae1cc8acfb0ff409106a6d7174/data/research/r5-public-reviews-20261007/balanced-pilot-v2/new_unique_records.json</x:v>
      </x:c>
      <x:c r="D30" s="1"/>
      <x:c r="E30" s="1"/>
      <x:c r="F30" s="1"/>
      <x:c r="G30" s="1"/>
    </x:row>
    <x:row r="31" ht="112.5" customHeight="1">
      <x:c r="A31" s="3" t="str">
        <x:v>data/research/r5-public-reviews-20261007/balanced-pilot-v2/manifest.json</x:v>
      </x:c>
      <x:c r="B31" s="3" t="str">
        <x:v>9ceb23e5b02e9541091a15673d6d1f161462bfd79c421eed5ddc652093aff37d</x:v>
      </x:c>
      <x:c r="C31" s="3" t="str">
        <x:v>https://github.com/2026-LG-kitchen-chicken-team/lg-ax-2026/blob/58feb9c30fc5faae1cc8acfb0ff409106a6d7174/data/research/r5-public-reviews-20261007/balanced-pilot-v2/manifest.json</x:v>
      </x:c>
      <x:c r="D31" s="1"/>
      <x:c r="E31" s="1"/>
      <x:c r="F31" s="1"/>
      <x:c r="G31" s="1"/>
    </x:row>
    <x:row r="32" ht="112.5" customHeight="1">
      <x:c r="A32" s="3" t="str">
        <x:v>data/research/r5-public-reviews-20261007/fixed18/development.dataset.json</x:v>
      </x:c>
      <x:c r="B32" s="3" t="str">
        <x:v>aee2b54b80b5d48559cab4d45eed1e3c3a3d2cb7d9f087542a820a22cf5e69a7</x:v>
      </x:c>
      <x:c r="C32" s="3" t="str">
        <x:v>https://github.com/2026-LG-kitchen-chicken-team/lg-ax-2026/blob/58feb9c30fc5faae1cc8acfb0ff409106a6d7174/data/research/r5-public-reviews-20261007/fixed18/development.dataset.json</x:v>
      </x:c>
      <x:c r="D32" s="1"/>
      <x:c r="E32" s="1"/>
      <x:c r="F32" s="1"/>
      <x:c r="G32" s="1"/>
    </x:row>
    <x:row r="33" ht="112.5" customHeight="1">
      <x:c r="A33" s="3" t="str">
        <x:v>data/research/r5-public-reviews-20261007/independence-holds.20261007.v1.json</x:v>
      </x:c>
      <x:c r="B33" s="3" t="str">
        <x:v>df4d83bc74a68897f17d0709a2ff5b4ab5edcc00eec0c6709491588a48d5fbbf</x:v>
      </x:c>
      <x:c r="C33" s="3" t="str">
        <x:v>https://github.com/2026-LG-kitchen-chicken-team/lg-ax-2026/blob/58feb9c30fc5faae1cc8acfb0ff409106a6d7174/data/research/r5-public-reviews-20261007/independence-holds.20261007.v1.json</x:v>
      </x:c>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row r="41">
      <x:c r="A41" s="1"/>
      <x:c r="B41" s="1"/>
      <x:c r="C41" s="1"/>
      <x:c r="D41" s="1"/>
      <x:c r="E41" s="1"/>
      <x:c r="F41" s="1"/>
      <x:c r="G41" s="1"/>
    </x:row>
    <x:row r="42">
      <x:c r="A42" s="1"/>
      <x:c r="B42" s="1"/>
      <x:c r="C42" s="1"/>
      <x:c r="D42" s="1"/>
      <x:c r="E42" s="1"/>
      <x:c r="F42" s="1"/>
      <x:c r="G42" s="1"/>
    </x:row>
    <x:row r="43">
      <x:c r="A43" s="1"/>
      <x:c r="B43" s="1"/>
      <x:c r="C43" s="1"/>
      <x:c r="D43" s="1"/>
      <x:c r="E43" s="1"/>
      <x:c r="F43" s="1"/>
      <x:c r="G43" s="1"/>
    </x:row>
    <x:row r="44">
      <x:c r="A44" s="1"/>
      <x:c r="B44" s="1"/>
      <x:c r="C44" s="1"/>
      <x:c r="D44" s="1"/>
      <x:c r="E44" s="1"/>
      <x:c r="F44" s="1"/>
      <x:c r="G44" s="1"/>
    </x:row>
    <x:row r="45">
      <x:c r="A45" s="1"/>
      <x:c r="B45" s="1"/>
      <x:c r="C45" s="1"/>
      <x:c r="D45" s="1"/>
      <x:c r="E45" s="1"/>
      <x:c r="F45" s="1"/>
      <x:c r="G45" s="1"/>
    </x:row>
    <x:row r="46">
      <x:c r="A46" s="1"/>
      <x:c r="B46" s="1"/>
      <x:c r="C46" s="1"/>
      <x:c r="D46" s="1"/>
      <x:c r="E46" s="1"/>
      <x:c r="F46" s="1"/>
      <x:c r="G46" s="1"/>
    </x:row>
    <x:row r="47">
      <x:c r="A47" s="1"/>
      <x:c r="B47" s="1"/>
      <x:c r="C47" s="1"/>
      <x:c r="D47" s="1"/>
      <x:c r="E47" s="1"/>
      <x:c r="F47" s="1"/>
      <x:c r="G47" s="1"/>
    </x:row>
    <x:row r="48">
      <x:c r="A48" s="1"/>
      <x:c r="B48" s="1"/>
      <x:c r="C48" s="1"/>
      <x:c r="D48" s="1"/>
      <x:c r="E48" s="1"/>
      <x:c r="F48" s="1"/>
      <x:c r="G48" s="1"/>
    </x:row>
    <x:row r="49">
      <x:c r="A49" s="1"/>
      <x:c r="B49" s="1"/>
      <x:c r="C49" s="1"/>
      <x:c r="D49" s="1"/>
      <x:c r="E49" s="1"/>
      <x:c r="F49" s="1"/>
      <x:c r="G49" s="1"/>
    </x:row>
    <x:row r="50">
      <x:c r="A50" s="1"/>
      <x:c r="B50" s="1"/>
      <x:c r="C50" s="1"/>
      <x:c r="D50" s="1"/>
      <x:c r="E50" s="1"/>
      <x:c r="F50" s="1"/>
      <x:c r="G50" s="1"/>
    </x:row>
    <x:row r="51">
      <x:c r="A51" s="1"/>
      <x:c r="B51" s="1"/>
      <x:c r="C51" s="1"/>
      <x:c r="D51" s="1"/>
      <x:c r="E51" s="1"/>
      <x:c r="F51" s="1"/>
      <x:c r="G51" s="1"/>
    </x:row>
    <x:row r="52">
      <x:c r="A52" s="1"/>
      <x:c r="B52" s="1"/>
      <x:c r="C52" s="1"/>
      <x:c r="D52" s="1"/>
      <x:c r="E52" s="1"/>
      <x:c r="F52" s="1"/>
      <x:c r="G52" s="1"/>
    </x:row>
    <x:row r="53">
      <x:c r="A53" s="1"/>
      <x:c r="B53" s="1"/>
      <x:c r="C53" s="1"/>
      <x:c r="D53" s="1"/>
      <x:c r="E53" s="1"/>
      <x:c r="F53" s="1"/>
      <x:c r="G53" s="1"/>
    </x:row>
    <x:row r="54">
      <x:c r="A54" s="1"/>
      <x:c r="B54" s="1"/>
      <x:c r="C54" s="1"/>
      <x:c r="D54" s="1"/>
      <x:c r="E54" s="1"/>
      <x:c r="F54" s="1"/>
      <x:c r="G54" s="1"/>
    </x:row>
    <x:row r="55">
      <x:c r="A55" s="1"/>
      <x:c r="B55" s="1"/>
      <x:c r="C55" s="1"/>
      <x:c r="D55" s="1"/>
      <x:c r="E55" s="1"/>
      <x:c r="F55" s="1"/>
      <x:c r="G55" s="1"/>
    </x:row>
    <x:row r="56">
      <x:c r="A56" s="1"/>
      <x:c r="B56" s="1"/>
      <x:c r="C56" s="1"/>
      <x:c r="D56" s="1"/>
      <x:c r="E56" s="1"/>
      <x:c r="F56" s="1"/>
      <x:c r="G56" s="1"/>
    </x:row>
    <x:row r="57">
      <x:c r="A57" s="1"/>
      <x:c r="B57" s="1"/>
      <x:c r="C57" s="1"/>
      <x:c r="D57" s="1"/>
      <x:c r="E57" s="1"/>
      <x:c r="F57" s="1"/>
      <x:c r="G57" s="1"/>
    </x:row>
    <x:row r="58">
      <x:c r="A58" s="1"/>
      <x:c r="B58" s="1"/>
      <x:c r="C58" s="1"/>
      <x:c r="D58" s="1"/>
      <x:c r="E58" s="1"/>
      <x:c r="F58" s="1"/>
      <x:c r="G58" s="1"/>
    </x:row>
    <x:row r="59">
      <x:c r="A59" s="1"/>
      <x:c r="B59" s="1"/>
      <x:c r="C59" s="1"/>
      <x:c r="D59" s="1"/>
      <x:c r="E59" s="1"/>
      <x:c r="F59" s="1"/>
      <x:c r="G59" s="1"/>
    </x:row>
    <x:row r="60">
      <x:c r="A60" s="1"/>
      <x:c r="B60" s="1"/>
      <x:c r="C60" s="1"/>
      <x:c r="D60" s="1"/>
      <x:c r="E60" s="1"/>
      <x:c r="F60" s="1"/>
      <x:c r="G60" s="1"/>
    </x:row>
    <x:row r="61">
      <x:c r="A61" s="1"/>
      <x:c r="B61" s="1"/>
      <x:c r="C61" s="1"/>
      <x:c r="D61" s="1"/>
      <x:c r="E61" s="1"/>
      <x:c r="F61" s="1"/>
      <x:c r="G61" s="1"/>
    </x:row>
    <x:row r="62">
      <x:c r="A62" s="1"/>
      <x:c r="B62" s="1"/>
      <x:c r="C62" s="1"/>
      <x:c r="D62" s="1"/>
      <x:c r="E62" s="1"/>
      <x:c r="F62" s="1"/>
      <x:c r="G62" s="1"/>
    </x:row>
    <x:row r="63">
      <x:c r="A63" s="1"/>
      <x:c r="B63" s="1"/>
      <x:c r="C63" s="1"/>
      <x:c r="D63" s="1"/>
      <x:c r="E63" s="1"/>
      <x:c r="F63" s="1"/>
      <x:c r="G63" s="1"/>
    </x:row>
    <x:row r="64">
      <x:c r="A64" s="1"/>
      <x:c r="B64" s="1"/>
      <x:c r="C64" s="1"/>
      <x:c r="D64" s="1"/>
      <x:c r="E64" s="1"/>
      <x:c r="F64" s="1"/>
      <x:c r="G64" s="1"/>
    </x:row>
    <x:row r="65">
      <x:c r="A65" s="1"/>
      <x:c r="B65" s="1"/>
      <x:c r="C65" s="1"/>
      <x:c r="D65" s="1"/>
      <x:c r="E65" s="1"/>
      <x:c r="F65" s="1"/>
      <x:c r="G65" s="1"/>
    </x:row>
    <x:row r="66">
      <x:c r="A66" s="1"/>
      <x:c r="B66" s="1"/>
      <x:c r="C66" s="1"/>
      <x:c r="D66" s="1"/>
      <x:c r="E66" s="1"/>
      <x:c r="F66" s="1"/>
      <x:c r="G66" s="1"/>
    </x:row>
    <x:row r="67">
      <x:c r="A67" s="1"/>
      <x:c r="B67" s="1"/>
      <x:c r="C67" s="1"/>
      <x:c r="D67" s="1"/>
      <x:c r="E67" s="1"/>
      <x:c r="F67" s="1"/>
      <x:c r="G67" s="1"/>
    </x:row>
    <x:row r="68">
      <x:c r="A68" s="1"/>
      <x:c r="B68" s="1"/>
      <x:c r="C68" s="1"/>
      <x:c r="D68" s="1"/>
      <x:c r="E68" s="1"/>
      <x:c r="F68" s="1"/>
      <x:c r="G68" s="1"/>
    </x:row>
    <x:row r="69">
      <x:c r="A69" s="1"/>
      <x:c r="B69" s="1"/>
      <x:c r="C69" s="1"/>
      <x:c r="D69" s="1"/>
      <x:c r="E69" s="1"/>
      <x:c r="F69" s="1"/>
      <x:c r="G69" s="1"/>
    </x:row>
    <x:row r="70">
      <x:c r="A70" s="1"/>
      <x:c r="B70" s="1"/>
      <x:c r="C70" s="1"/>
      <x:c r="D70" s="1"/>
      <x:c r="E70" s="1"/>
      <x:c r="F70" s="1"/>
      <x:c r="G70" s="1"/>
    </x:row>
    <x:row r="71">
      <x:c r="A71" s="1"/>
      <x:c r="B71" s="1"/>
      <x:c r="C71" s="1"/>
      <x:c r="D71" s="1"/>
      <x:c r="E71" s="1"/>
      <x:c r="F71" s="1"/>
      <x:c r="G71" s="1"/>
    </x:row>
    <x:row r="72">
      <x:c r="A72" s="1"/>
      <x:c r="B72" s="1"/>
      <x:c r="C72" s="1"/>
      <x:c r="D72" s="1"/>
      <x:c r="E72" s="1"/>
      <x:c r="F72" s="1"/>
      <x:c r="G72" s="1"/>
    </x:row>
    <x:row r="73">
      <x:c r="A73" s="1"/>
      <x:c r="B73" s="1"/>
      <x:c r="C73" s="1"/>
      <x:c r="D73" s="1"/>
      <x:c r="E73" s="1"/>
      <x:c r="F73" s="1"/>
      <x:c r="G73" s="1"/>
    </x:row>
    <x:row r="74">
      <x:c r="A74" s="1"/>
      <x:c r="B74" s="1"/>
      <x:c r="C74" s="1"/>
      <x:c r="D74" s="1"/>
      <x:c r="E74" s="1"/>
      <x:c r="F74" s="1"/>
      <x:c r="G74" s="1"/>
    </x:row>
    <x:row r="75">
      <x:c r="A75" s="1"/>
      <x:c r="B75" s="1"/>
      <x:c r="C75" s="1"/>
      <x:c r="D75" s="1"/>
      <x:c r="E75" s="1"/>
      <x:c r="F75" s="1"/>
      <x:c r="G75" s="1"/>
    </x:row>
    <x:row r="76">
      <x:c r="A76" s="1"/>
      <x:c r="B76" s="1"/>
      <x:c r="C76" s="1"/>
      <x:c r="D76" s="1"/>
      <x:c r="E76" s="1"/>
      <x:c r="F76" s="1"/>
      <x:c r="G76" s="1"/>
    </x:row>
    <x:row r="77">
      <x:c r="A77" s="1"/>
      <x:c r="B77" s="1"/>
      <x:c r="C77" s="1"/>
      <x:c r="D77" s="1"/>
      <x:c r="E77" s="1"/>
      <x:c r="F77" s="1"/>
      <x:c r="G77" s="1"/>
    </x:row>
    <x:row r="78">
      <x:c r="A78" s="1"/>
      <x:c r="B78" s="1"/>
      <x:c r="C78" s="1"/>
      <x:c r="D78" s="1"/>
      <x:c r="E78" s="1"/>
      <x:c r="F78" s="1"/>
      <x:c r="G78" s="1"/>
    </x:row>
    <x:row r="79">
      <x:c r="A79" s="1"/>
      <x:c r="B79" s="1"/>
      <x:c r="C79" s="1"/>
      <x:c r="D79" s="1"/>
      <x:c r="E79" s="1"/>
      <x:c r="F79" s="1"/>
      <x:c r="G79" s="1"/>
    </x:row>
    <x:row r="80">
      <x:c r="A80" s="1"/>
      <x:c r="B80" s="1"/>
      <x:c r="C80" s="1"/>
      <x:c r="D80" s="1"/>
      <x:c r="E80" s="1"/>
      <x:c r="F80" s="1"/>
      <x:c r="G80" s="1"/>
    </x:row>
    <x:row r="81">
      <x:c r="A81" s="1"/>
      <x:c r="B81" s="1"/>
      <x:c r="C81" s="1"/>
      <x:c r="D81" s="1"/>
      <x:c r="E81" s="1"/>
      <x:c r="F81" s="1"/>
      <x:c r="G81" s="1"/>
    </x:row>
    <x:row r="82">
      <x:c r="A82" s="1"/>
      <x:c r="B82" s="1"/>
      <x:c r="C82" s="1"/>
      <x:c r="D82" s="1"/>
      <x:c r="E82" s="1"/>
      <x:c r="F82" s="1"/>
      <x:c r="G82" s="1"/>
    </x:row>
    <x:row r="83">
      <x:c r="A83" s="1"/>
      <x:c r="B83" s="1"/>
      <x:c r="C83" s="1"/>
      <x:c r="D83" s="1"/>
      <x:c r="E83" s="1"/>
      <x:c r="F83" s="1"/>
      <x:c r="G83" s="1"/>
    </x:row>
    <x:row r="84">
      <x:c r="A84" s="1"/>
      <x:c r="B84" s="1"/>
      <x:c r="C84" s="1"/>
      <x:c r="D84" s="1"/>
      <x:c r="E84" s="1"/>
      <x:c r="F84" s="1"/>
      <x:c r="G84" s="1"/>
    </x:row>
    <x:row r="85">
      <x:c r="A85" s="1"/>
      <x:c r="B85" s="1"/>
      <x:c r="C85" s="1"/>
      <x:c r="D85" s="1"/>
      <x:c r="E85" s="1"/>
      <x:c r="F85" s="1"/>
      <x:c r="G85" s="1"/>
    </x:row>
    <x:row r="86">
      <x:c r="A86" s="1"/>
      <x:c r="B86" s="1"/>
      <x:c r="C86" s="1"/>
      <x:c r="D86" s="1"/>
      <x:c r="E86" s="1"/>
      <x:c r="F86" s="1"/>
      <x:c r="G86" s="1"/>
    </x:row>
    <x:row r="87">
      <x:c r="A87" s="1"/>
      <x:c r="B87" s="1"/>
      <x:c r="C87" s="1"/>
      <x:c r="D87" s="1"/>
      <x:c r="E87" s="1"/>
      <x:c r="F87" s="1"/>
      <x:c r="G87" s="1"/>
    </x:row>
    <x:row r="88">
      <x:c r="A88" s="1"/>
      <x:c r="B88" s="1"/>
      <x:c r="C88" s="1"/>
      <x:c r="D88" s="1"/>
      <x:c r="E88" s="1"/>
      <x:c r="F88" s="1"/>
      <x:c r="G88" s="1"/>
    </x:row>
    <x:row r="89">
      <x:c r="A89" s="1"/>
      <x:c r="B89" s="1"/>
      <x:c r="C89" s="1"/>
      <x:c r="D89" s="1"/>
      <x:c r="E89" s="1"/>
      <x:c r="F89" s="1"/>
      <x:c r="G89" s="1"/>
    </x:row>
    <x:row r="90">
      <x:c r="A90" s="1"/>
      <x:c r="B90" s="1"/>
      <x:c r="C90" s="1"/>
      <x:c r="D90" s="1"/>
      <x:c r="E90" s="1"/>
      <x:c r="F90" s="1"/>
      <x:c r="G90" s="1"/>
    </x:row>
    <x:row r="91">
      <x:c r="A91" s="1"/>
      <x:c r="B91" s="1"/>
      <x:c r="C91" s="1"/>
      <x:c r="D91" s="1"/>
      <x:c r="E91" s="1"/>
      <x:c r="F91" s="1"/>
      <x:c r="G91" s="1"/>
    </x:row>
    <x:row r="92">
      <x:c r="A92" s="1"/>
      <x:c r="B92" s="1"/>
      <x:c r="C92" s="1"/>
      <x:c r="D92" s="1"/>
      <x:c r="E92" s="1"/>
      <x:c r="F92" s="1"/>
      <x:c r="G92" s="1"/>
    </x:row>
    <x:row r="93">
      <x:c r="A93" s="1"/>
      <x:c r="B93" s="1"/>
      <x:c r="C93" s="1"/>
      <x:c r="D93" s="1"/>
      <x:c r="E93" s="1"/>
      <x:c r="F93" s="1"/>
      <x:c r="G93" s="1"/>
    </x:row>
    <x:row r="94">
      <x:c r="A94" s="1"/>
      <x:c r="B94" s="1"/>
      <x:c r="C94" s="1"/>
      <x:c r="D94" s="1"/>
      <x:c r="E94" s="1"/>
      <x:c r="F94" s="1"/>
      <x:c r="G94" s="1"/>
    </x:row>
    <x:row r="95">
      <x:c r="A95" s="1"/>
      <x:c r="B95" s="1"/>
      <x:c r="C95" s="1"/>
      <x:c r="D95" s="1"/>
      <x:c r="E95" s="1"/>
      <x:c r="F95" s="1"/>
      <x:c r="G95" s="1"/>
    </x:row>
    <x:row r="96">
      <x:c r="A96" s="1"/>
      <x:c r="B96" s="1"/>
      <x:c r="C96" s="1"/>
      <x:c r="D96" s="1"/>
      <x:c r="E96" s="1"/>
      <x:c r="F96" s="1"/>
      <x:c r="G96" s="1"/>
    </x:row>
    <x:row r="97">
      <x:c r="A97" s="1"/>
      <x:c r="B97" s="1"/>
      <x:c r="C97" s="1"/>
      <x:c r="D97" s="1"/>
      <x:c r="E97" s="1"/>
      <x:c r="F97" s="1"/>
      <x:c r="G97" s="1"/>
    </x:row>
    <x:row r="98">
      <x:c r="A98" s="1"/>
      <x:c r="B98" s="1"/>
      <x:c r="C98" s="1"/>
      <x:c r="D98" s="1"/>
      <x:c r="E98" s="1"/>
      <x:c r="F98" s="1"/>
      <x:c r="G98" s="1"/>
    </x:row>
    <x:row r="99">
      <x:c r="A99" s="1"/>
      <x:c r="B99" s="1"/>
      <x:c r="C99" s="1"/>
      <x:c r="D99" s="1"/>
      <x:c r="E99" s="1"/>
      <x:c r="F99" s="1"/>
      <x:c r="G99" s="1"/>
    </x:row>
    <x:row r="100">
      <x:c r="A100" s="1"/>
      <x:c r="B100" s="1"/>
      <x:c r="C100" s="1"/>
      <x:c r="D100" s="1"/>
      <x:c r="E100" s="1"/>
      <x:c r="F100" s="1"/>
      <x:c r="G100" s="1"/>
    </x:row>
    <x:row r="101">
      <x:c r="A101" s="1"/>
      <x:c r="B101" s="1"/>
      <x:c r="C101" s="1"/>
      <x:c r="D101" s="1"/>
      <x:c r="E101" s="1"/>
      <x:c r="F101" s="1"/>
      <x:c r="G101" s="1"/>
    </x:row>
    <x:row r="102">
      <x:c r="A102" s="1"/>
      <x:c r="B102" s="1"/>
      <x:c r="C102" s="1"/>
      <x:c r="D102" s="1"/>
      <x:c r="E102" s="1"/>
      <x:c r="F102" s="1"/>
      <x:c r="G102" s="1"/>
    </x:row>
    <x:row r="103">
      <x:c r="A103" s="1"/>
      <x:c r="B103" s="1"/>
      <x:c r="C103" s="1"/>
      <x:c r="D103" s="1"/>
      <x:c r="E103" s="1"/>
      <x:c r="F103" s="1"/>
      <x:c r="G103" s="1"/>
    </x:row>
    <x:row r="104">
      <x:c r="A104" s="1"/>
      <x:c r="B104" s="1"/>
      <x:c r="C104" s="1"/>
      <x:c r="D104" s="1"/>
      <x:c r="E104" s="1"/>
      <x:c r="F104" s="1"/>
      <x:c r="G104" s="1"/>
    </x:row>
    <x:row r="105">
      <x:c r="A105" s="1"/>
      <x:c r="B105" s="1"/>
      <x:c r="C105" s="1"/>
      <x:c r="D105" s="1"/>
      <x:c r="E105" s="1"/>
      <x:c r="F105" s="1"/>
      <x:c r="G105" s="1"/>
    </x:row>
    <x:row r="106">
      <x:c r="A106" s="1"/>
      <x:c r="B106" s="1"/>
      <x:c r="C106" s="1"/>
      <x:c r="D106" s="1"/>
      <x:c r="E106" s="1"/>
      <x:c r="F106" s="1"/>
      <x:c r="G106" s="1"/>
    </x:row>
    <x:row r="107">
      <x:c r="A107" s="1"/>
      <x:c r="B107" s="1"/>
      <x:c r="C107" s="1"/>
      <x:c r="D107" s="1"/>
      <x:c r="E107" s="1"/>
      <x:c r="F107" s="1"/>
      <x:c r="G107" s="1"/>
    </x:row>
    <x:row r="108">
      <x:c r="A108" s="1"/>
      <x:c r="B108" s="1"/>
      <x:c r="C108" s="1"/>
      <x:c r="D108" s="1"/>
      <x:c r="E108" s="1"/>
      <x:c r="F108" s="1"/>
      <x:c r="G108" s="1"/>
    </x:row>
    <x:row r="109">
      <x:c r="A109" s="1"/>
      <x:c r="B109" s="1"/>
      <x:c r="C109" s="1"/>
      <x:c r="D109" s="1"/>
      <x:c r="E109" s="1"/>
      <x:c r="F109" s="1"/>
      <x:c r="G109" s="1"/>
    </x:row>
    <x:row r="110">
      <x:c r="A110" s="1"/>
      <x:c r="B110" s="1"/>
      <x:c r="C110" s="1"/>
      <x:c r="D110" s="1"/>
      <x:c r="E110" s="1"/>
      <x:c r="F110" s="1"/>
      <x:c r="G110" s="1"/>
    </x:row>
    <x:row r="111">
      <x:c r="A111" s="1"/>
      <x:c r="B111" s="1"/>
      <x:c r="C111" s="1"/>
      <x:c r="D111" s="1"/>
      <x:c r="E111" s="1"/>
      <x:c r="F111" s="1"/>
      <x:c r="G111" s="1"/>
    </x:row>
    <x:row r="112">
      <x:c r="A112" s="1"/>
      <x:c r="B112" s="1"/>
      <x:c r="C112" s="1"/>
      <x:c r="D112" s="1"/>
      <x:c r="E112" s="1"/>
      <x:c r="F112" s="1"/>
      <x:c r="G112" s="1"/>
    </x:row>
    <x:row r="113">
      <x:c r="A113" s="1"/>
      <x:c r="B113" s="1"/>
      <x:c r="C113" s="1"/>
      <x:c r="D113" s="1"/>
      <x:c r="E113" s="1"/>
      <x:c r="F113" s="1"/>
      <x:c r="G113" s="1"/>
    </x:row>
    <x:row r="114">
      <x:c r="A114" s="1"/>
      <x:c r="B114" s="1"/>
      <x:c r="C114" s="1"/>
      <x:c r="D114" s="1"/>
      <x:c r="E114" s="1"/>
      <x:c r="F114" s="1"/>
      <x:c r="G114" s="1"/>
    </x:row>
    <x:row r="115">
      <x:c r="A115" s="1"/>
      <x:c r="B115" s="1"/>
      <x:c r="C115" s="1"/>
      <x:c r="D115" s="1"/>
      <x:c r="E115" s="1"/>
      <x:c r="F115" s="1"/>
      <x:c r="G115" s="1"/>
    </x:row>
    <x:row r="116">
      <x:c r="A116" s="1"/>
      <x:c r="B116" s="1"/>
      <x:c r="C116" s="1"/>
      <x:c r="D116" s="1"/>
      <x:c r="E116" s="1"/>
      <x:c r="F116" s="1"/>
      <x:c r="G116" s="1"/>
    </x:row>
    <x:row r="117">
      <x:c r="A117" s="1"/>
      <x:c r="B117" s="1"/>
      <x:c r="C117" s="1"/>
      <x:c r="D117" s="1"/>
      <x:c r="E117" s="1"/>
      <x:c r="F117" s="1"/>
      <x:c r="G117" s="1"/>
    </x:row>
    <x:row r="118">
      <x:c r="A118" s="1"/>
      <x:c r="B118" s="1"/>
      <x:c r="C118" s="1"/>
      <x:c r="D118" s="1"/>
      <x:c r="E118" s="1"/>
      <x:c r="F118" s="1"/>
      <x:c r="G118" s="1"/>
    </x:row>
    <x:row r="119">
      <x:c r="A119" s="1"/>
      <x:c r="B119" s="1"/>
      <x:c r="C119" s="1"/>
      <x:c r="D119" s="1"/>
      <x:c r="E119" s="1"/>
      <x:c r="F119" s="1"/>
      <x:c r="G119" s="1"/>
    </x:row>
    <x:row r="120">
      <x:c r="A120" s="1"/>
      <x:c r="B120" s="1"/>
      <x:c r="C120" s="1"/>
      <x:c r="D120" s="1"/>
      <x:c r="E120" s="1"/>
      <x:c r="F120" s="1"/>
      <x:c r="G120" s="1"/>
    </x:row>
    <x:row r="121">
      <x:c r="A121" s="1"/>
      <x:c r="B121" s="1"/>
      <x:c r="C121" s="1"/>
      <x:c r="D121" s="1"/>
      <x:c r="E121" s="1"/>
      <x:c r="F121" s="1"/>
      <x:c r="G121" s="1"/>
    </x:row>
    <x:row r="122">
      <x:c r="A122" s="1"/>
      <x:c r="B122" s="1"/>
      <x:c r="C122" s="1"/>
      <x:c r="D122" s="1"/>
      <x:c r="E122" s="1"/>
      <x:c r="F122" s="1"/>
      <x:c r="G122" s="1"/>
    </x:row>
    <x:row r="123">
      <x:c r="A123" s="1"/>
      <x:c r="B123" s="1"/>
      <x:c r="C123" s="1"/>
      <x:c r="D123" s="1"/>
      <x:c r="E123" s="1"/>
      <x:c r="F123" s="1"/>
      <x:c r="G123" s="1"/>
    </x:row>
    <x:row r="124">
      <x:c r="A124" s="1"/>
      <x:c r="B124" s="1"/>
      <x:c r="C124" s="1"/>
      <x:c r="D124" s="1"/>
      <x:c r="E124" s="1"/>
      <x:c r="F124" s="1"/>
      <x:c r="G124" s="1"/>
    </x:row>
    <x:row r="125">
      <x:c r="A125" s="1"/>
      <x:c r="B125" s="1"/>
      <x:c r="C125" s="1"/>
      <x:c r="D125" s="1"/>
      <x:c r="E125" s="1"/>
      <x:c r="F125" s="1"/>
      <x:c r="G125" s="1"/>
    </x:row>
    <x:row r="126">
      <x:c r="A126" s="1"/>
      <x:c r="B126" s="1"/>
      <x:c r="C126" s="1"/>
      <x:c r="D126" s="1"/>
      <x:c r="E126" s="1"/>
      <x:c r="F126" s="1"/>
      <x:c r="G126" s="1"/>
    </x:row>
    <x:row r="127">
      <x:c r="A127" s="1"/>
      <x:c r="B127" s="1"/>
      <x:c r="C127" s="1"/>
      <x:c r="D127" s="1"/>
      <x:c r="E127" s="1"/>
      <x:c r="F127" s="1"/>
      <x:c r="G127" s="1"/>
    </x:row>
    <x:row r="128">
      <x:c r="A128" s="1"/>
      <x:c r="B128" s="1"/>
      <x:c r="C128" s="1"/>
      <x:c r="D128" s="1"/>
      <x:c r="E128" s="1"/>
      <x:c r="F128" s="1"/>
      <x:c r="G128" s="1"/>
    </x:row>
    <x:row r="129">
      <x:c r="A129" s="1"/>
      <x:c r="B129" s="1"/>
      <x:c r="C129" s="1"/>
      <x:c r="D129" s="1"/>
      <x:c r="E129" s="1"/>
      <x:c r="F129" s="1"/>
      <x:c r="G129" s="1"/>
    </x:row>
    <x:row r="130">
      <x:c r="A130" s="1"/>
      <x:c r="B130" s="1"/>
      <x:c r="C130" s="1"/>
      <x:c r="D130" s="1"/>
      <x:c r="E130" s="1"/>
      <x:c r="F130" s="1"/>
      <x:c r="G130" s="1"/>
    </x:row>
    <x:row r="131">
      <x:c r="A131" s="1"/>
      <x:c r="B131" s="1"/>
      <x:c r="C131" s="1"/>
      <x:c r="D131" s="1"/>
      <x:c r="E131" s="1"/>
      <x:c r="F131" s="1"/>
      <x:c r="G131" s="1"/>
    </x:row>
    <x:row r="132">
      <x:c r="A132" s="1"/>
      <x:c r="B132" s="1"/>
      <x:c r="C132" s="1"/>
      <x:c r="D132" s="1"/>
      <x:c r="E132" s="1"/>
      <x:c r="F132" s="1"/>
      <x:c r="G132" s="1"/>
    </x:row>
    <x:row r="133">
      <x:c r="A133" s="1"/>
      <x:c r="B133" s="1"/>
      <x:c r="C133" s="1"/>
      <x:c r="D133" s="1"/>
      <x:c r="E133" s="1"/>
      <x:c r="F133" s="1"/>
      <x:c r="G133" s="1"/>
    </x:row>
    <x:row r="134">
      <x:c r="A134" s="1"/>
      <x:c r="B134" s="1"/>
      <x:c r="C134" s="1"/>
      <x:c r="D134" s="1"/>
      <x:c r="E134" s="1"/>
      <x:c r="F134" s="1"/>
      <x:c r="G134" s="1"/>
    </x:row>
    <x:row r="135">
      <x:c r="A135" s="1"/>
      <x:c r="B135" s="1"/>
      <x:c r="C135" s="1"/>
      <x:c r="D135" s="1"/>
      <x:c r="E135" s="1"/>
      <x:c r="F135" s="1"/>
      <x:c r="G135" s="1"/>
    </x:row>
    <x:row r="136">
      <x:c r="A136" s="1"/>
      <x:c r="B136" s="1"/>
      <x:c r="C136" s="1"/>
      <x:c r="D136" s="1"/>
      <x:c r="E136" s="1"/>
      <x:c r="F136" s="1"/>
      <x:c r="G136" s="1"/>
    </x:row>
    <x:row r="137">
      <x:c r="A137" s="1"/>
      <x:c r="B137" s="1"/>
      <x:c r="C137" s="1"/>
      <x:c r="D137" s="1"/>
      <x:c r="E137" s="1"/>
      <x:c r="F137" s="1"/>
      <x:c r="G137" s="1"/>
    </x:row>
    <x:row r="138">
      <x:c r="A138" s="1"/>
      <x:c r="B138" s="1"/>
      <x:c r="C138" s="1"/>
      <x:c r="D138" s="1"/>
      <x:c r="E138" s="1"/>
      <x:c r="F138" s="1"/>
      <x:c r="G138" s="1"/>
    </x:row>
    <x:row r="139">
      <x:c r="A139" s="1"/>
      <x:c r="B139" s="1"/>
      <x:c r="C139" s="1"/>
      <x:c r="D139" s="1"/>
      <x:c r="E139" s="1"/>
      <x:c r="F139" s="1"/>
      <x:c r="G139" s="1"/>
    </x:row>
    <x:row r="140">
      <x:c r="A140" s="1"/>
      <x:c r="B140" s="1"/>
      <x:c r="C140" s="1"/>
      <x:c r="D140" s="1"/>
      <x:c r="E140" s="1"/>
      <x:c r="F140" s="1"/>
      <x:c r="G140" s="1"/>
    </x:row>
    <x:row r="141">
      <x:c r="A141" s="1"/>
      <x:c r="B141" s="1"/>
      <x:c r="C141" s="1"/>
      <x:c r="D141" s="1"/>
      <x:c r="E141" s="1"/>
      <x:c r="F141" s="1"/>
      <x:c r="G141" s="1"/>
    </x:row>
    <x:row r="142">
      <x:c r="A142" s="1"/>
      <x:c r="B142" s="1"/>
      <x:c r="C142" s="1"/>
      <x:c r="D142" s="1"/>
      <x:c r="E142" s="1"/>
      <x:c r="F142" s="1"/>
      <x:c r="G142" s="1"/>
    </x:row>
    <x:row r="143">
      <x:c r="A143" s="1"/>
      <x:c r="B143" s="1"/>
      <x:c r="C143" s="1"/>
      <x:c r="D143" s="1"/>
      <x:c r="E143" s="1"/>
      <x:c r="F143" s="1"/>
      <x:c r="G143" s="1"/>
    </x:row>
    <x:row r="144">
      <x:c r="A144" s="1"/>
      <x:c r="B144" s="1"/>
      <x:c r="C144" s="1"/>
      <x:c r="D144" s="1"/>
      <x:c r="E144" s="1"/>
      <x:c r="F144" s="1"/>
      <x:c r="G144" s="1"/>
    </x:row>
    <x:row r="145">
      <x:c r="A145" s="1"/>
      <x:c r="B145" s="1"/>
      <x:c r="C145" s="1"/>
      <x:c r="D145" s="1"/>
      <x:c r="E145" s="1"/>
      <x:c r="F145" s="1"/>
      <x:c r="G145" s="1"/>
    </x:row>
    <x:row r="146">
      <x:c r="A146" s="1"/>
      <x:c r="B146" s="1"/>
      <x:c r="C146" s="1"/>
      <x:c r="D146" s="1"/>
      <x:c r="E146" s="1"/>
      <x:c r="F146" s="1"/>
      <x:c r="G146" s="1"/>
    </x:row>
    <x:row r="147">
      <x:c r="A147" s="1"/>
      <x:c r="B147" s="1"/>
      <x:c r="C147" s="1"/>
      <x:c r="D147" s="1"/>
      <x:c r="E147" s="1"/>
      <x:c r="F147" s="1"/>
      <x:c r="G147" s="1"/>
    </x:row>
    <x:row r="148">
      <x:c r="A148" s="1"/>
      <x:c r="B148" s="1"/>
      <x:c r="C148" s="1"/>
      <x:c r="D148" s="1"/>
      <x:c r="E148" s="1"/>
      <x:c r="F148" s="1"/>
      <x:c r="G148" s="1"/>
    </x:row>
    <x:row r="149">
      <x:c r="A149" s="1"/>
      <x:c r="B149" s="1"/>
      <x:c r="C149" s="1"/>
      <x:c r="D149" s="1"/>
      <x:c r="E149" s="1"/>
      <x:c r="F149" s="1"/>
      <x:c r="G149" s="1"/>
    </x:row>
    <x:row r="150">
      <x:c r="A150" s="1"/>
      <x:c r="B150" s="1"/>
      <x:c r="C150" s="1"/>
      <x:c r="D150" s="1"/>
      <x:c r="E150" s="1"/>
      <x:c r="F150" s="1"/>
      <x:c r="G150" s="1"/>
    </x:row>
    <x:row r="151">
      <x:c r="A151" s="1"/>
      <x:c r="B151" s="1"/>
      <x:c r="C151" s="1"/>
      <x:c r="D151" s="1"/>
      <x:c r="E151" s="1"/>
      <x:c r="F151" s="1"/>
      <x:c r="G151" s="1"/>
    </x:row>
    <x:row r="152">
      <x:c r="A152" s="1"/>
      <x:c r="B152" s="1"/>
      <x:c r="C152" s="1"/>
      <x:c r="D152" s="1"/>
      <x:c r="E152" s="1"/>
      <x:c r="F152" s="1"/>
      <x:c r="G152" s="1"/>
    </x:row>
    <x:row r="153">
      <x:c r="A153" s="1"/>
      <x:c r="B153" s="1"/>
      <x:c r="C153" s="1"/>
      <x:c r="D153" s="1"/>
      <x:c r="E153" s="1"/>
      <x:c r="F153" s="1"/>
      <x:c r="G153" s="1"/>
    </x:row>
    <x:row r="154">
      <x:c r="A154" s="1"/>
      <x:c r="B154" s="1"/>
      <x:c r="C154" s="1"/>
      <x:c r="D154" s="1"/>
      <x:c r="E154" s="1"/>
      <x:c r="F154" s="1"/>
      <x:c r="G154" s="1"/>
    </x:row>
    <x:row r="155">
      <x:c r="A155" s="1"/>
      <x:c r="B155" s="1"/>
      <x:c r="C155" s="1"/>
      <x:c r="D155" s="1"/>
      <x:c r="E155" s="1"/>
      <x:c r="F155" s="1"/>
      <x:c r="G155" s="1"/>
    </x:row>
    <x:row r="156">
      <x:c r="A156" s="1"/>
      <x:c r="B156" s="1"/>
      <x:c r="C156" s="1"/>
      <x:c r="D156" s="1"/>
      <x:c r="E156" s="1"/>
      <x:c r="F156" s="1"/>
      <x:c r="G156" s="1"/>
    </x:row>
    <x:row r="157">
      <x:c r="A157" s="1"/>
      <x:c r="B157" s="1"/>
      <x:c r="C157" s="1"/>
      <x:c r="D157" s="1"/>
      <x:c r="E157" s="1"/>
      <x:c r="F157" s="1"/>
      <x:c r="G157" s="1"/>
    </x:row>
    <x:row r="158">
      <x:c r="A158" s="1"/>
      <x:c r="B158" s="1"/>
      <x:c r="C158" s="1"/>
      <x:c r="D158" s="1"/>
      <x:c r="E158" s="1"/>
      <x:c r="F158" s="1"/>
      <x:c r="G158" s="1"/>
    </x:row>
    <x:row r="159">
      <x:c r="A159" s="1"/>
      <x:c r="B159" s="1"/>
      <x:c r="C159" s="1"/>
      <x:c r="D159" s="1"/>
      <x:c r="E159" s="1"/>
      <x:c r="F159" s="1"/>
      <x:c r="G159" s="1"/>
    </x:row>
    <x:row r="160">
      <x:c r="A160" s="1"/>
      <x:c r="B160" s="1"/>
      <x:c r="C160" s="1"/>
      <x:c r="D160" s="1"/>
      <x:c r="E160" s="1"/>
      <x:c r="F160" s="1"/>
      <x:c r="G160" s="1"/>
    </x:row>
    <x:row r="161">
      <x:c r="A161" s="1"/>
      <x:c r="B161" s="1"/>
      <x:c r="C161" s="1"/>
      <x:c r="D161" s="1"/>
      <x:c r="E161" s="1"/>
      <x:c r="F161" s="1"/>
      <x:c r="G161" s="1"/>
    </x:row>
    <x:row r="162">
      <x:c r="A162" s="1"/>
      <x:c r="B162" s="1"/>
      <x:c r="C162" s="1"/>
      <x:c r="D162" s="1"/>
      <x:c r="E162" s="1"/>
      <x:c r="F162" s="1"/>
      <x:c r="G162" s="1"/>
    </x:row>
    <x:row r="163">
      <x:c r="A163" s="1"/>
      <x:c r="B163" s="1"/>
      <x:c r="C163" s="1"/>
      <x:c r="D163" s="1"/>
      <x:c r="E163" s="1"/>
      <x:c r="F163" s="1"/>
      <x:c r="G163" s="1"/>
    </x:row>
    <x:row r="164">
      <x:c r="A164" s="1"/>
      <x:c r="B164" s="1"/>
      <x:c r="C164" s="1"/>
      <x:c r="D164" s="1"/>
      <x:c r="E164" s="1"/>
      <x:c r="F164" s="1"/>
      <x:c r="G164" s="1"/>
    </x:row>
    <x:row r="165">
      <x:c r="A165" s="1"/>
      <x:c r="B165" s="1"/>
      <x:c r="C165" s="1"/>
      <x:c r="D165" s="1"/>
      <x:c r="E165" s="1"/>
      <x:c r="F165" s="1"/>
      <x:c r="G165" s="1"/>
    </x:row>
    <x:row r="166">
      <x:c r="A166" s="1"/>
      <x:c r="B166" s="1"/>
      <x:c r="C166" s="1"/>
      <x:c r="D166" s="1"/>
      <x:c r="E166" s="1"/>
      <x:c r="F166" s="1"/>
      <x:c r="G166" s="1"/>
    </x:row>
    <x:row r="167">
      <x:c r="A167" s="1"/>
      <x:c r="B167" s="1"/>
      <x:c r="C167" s="1"/>
      <x:c r="D167" s="1"/>
      <x:c r="E167" s="1"/>
      <x:c r="F167" s="1"/>
      <x:c r="G167" s="1"/>
    </x:row>
    <x:row r="168">
      <x:c r="A168" s="1"/>
      <x:c r="B168" s="1"/>
      <x:c r="C168" s="1"/>
      <x:c r="D168" s="1"/>
      <x:c r="E168" s="1"/>
      <x:c r="F168" s="1"/>
      <x:c r="G168" s="1"/>
    </x:row>
    <x:row r="169">
      <x:c r="A169" s="1"/>
      <x:c r="B169" s="1"/>
      <x:c r="C169" s="1"/>
      <x:c r="D169" s="1"/>
      <x:c r="E169" s="1"/>
      <x:c r="F169" s="1"/>
      <x:c r="G169" s="1"/>
    </x:row>
    <x:row r="170">
      <x:c r="A170" s="1"/>
      <x:c r="B170" s="1"/>
      <x:c r="C170" s="1"/>
      <x:c r="D170" s="1"/>
      <x:c r="E170" s="1"/>
      <x:c r="F170" s="1"/>
      <x:c r="G170" s="1"/>
    </x:row>
    <x:row r="171">
      <x:c r="A171" s="1"/>
      <x:c r="B171" s="1"/>
      <x:c r="C171" s="1"/>
      <x:c r="D171" s="1"/>
      <x:c r="E171" s="1"/>
      <x:c r="F171" s="1"/>
      <x:c r="G171" s="1"/>
    </x:row>
    <x:row r="172">
      <x:c r="A172" s="1"/>
      <x:c r="B172" s="1"/>
      <x:c r="C172" s="1"/>
      <x:c r="D172" s="1"/>
      <x:c r="E172" s="1"/>
      <x:c r="F172" s="1"/>
      <x:c r="G172" s="1"/>
    </x:row>
    <x:row r="173">
      <x:c r="A173" s="1"/>
      <x:c r="B173" s="1"/>
      <x:c r="C173" s="1"/>
      <x:c r="D173" s="1"/>
      <x:c r="E173" s="1"/>
      <x:c r="F173" s="1"/>
      <x:c r="G173" s="1"/>
    </x:row>
    <x:row r="174">
      <x:c r="A174" s="1"/>
      <x:c r="B174" s="1"/>
      <x:c r="C174" s="1"/>
      <x:c r="D174" s="1"/>
      <x:c r="E174" s="1"/>
      <x:c r="F174" s="1"/>
      <x:c r="G174" s="1"/>
    </x:row>
    <x:row r="175">
      <x:c r="A175" s="1"/>
      <x:c r="B175" s="1"/>
      <x:c r="C175" s="1"/>
      <x:c r="D175" s="1"/>
      <x:c r="E175" s="1"/>
      <x:c r="F175" s="1"/>
      <x:c r="G175" s="1"/>
    </x:row>
    <x:row r="176">
      <x:c r="A176" s="1"/>
      <x:c r="B176" s="1"/>
      <x:c r="C176" s="1"/>
      <x:c r="D176" s="1"/>
      <x:c r="E176" s="1"/>
      <x:c r="F176" s="1"/>
      <x:c r="G176" s="1"/>
    </x:row>
    <x:row r="177">
      <x:c r="A177" s="1"/>
      <x:c r="B177" s="1"/>
      <x:c r="C177" s="1"/>
      <x:c r="D177" s="1"/>
      <x:c r="E177" s="1"/>
      <x:c r="F177" s="1"/>
      <x:c r="G177" s="1"/>
    </x:row>
    <x:row r="178">
      <x:c r="A178" s="1"/>
      <x:c r="B178" s="1"/>
      <x:c r="C178" s="1"/>
      <x:c r="D178" s="1"/>
      <x:c r="E178" s="1"/>
      <x:c r="F178" s="1"/>
      <x:c r="G178" s="1"/>
    </x:row>
    <x:row r="179">
      <x:c r="A179" s="1"/>
      <x:c r="B179" s="1"/>
      <x:c r="C179" s="1"/>
      <x:c r="D179" s="1"/>
      <x:c r="E179" s="1"/>
      <x:c r="F179" s="1"/>
      <x:c r="G179" s="1"/>
    </x:row>
    <x:row r="180">
      <x:c r="A180" s="1"/>
      <x:c r="B180" s="1"/>
      <x:c r="C180" s="1"/>
      <x:c r="D180" s="1"/>
      <x:c r="E180" s="1"/>
      <x:c r="F180" s="1"/>
      <x:c r="G180" s="1"/>
    </x:row>
    <x:row r="181">
      <x:c r="A181" s="1"/>
      <x:c r="B181" s="1"/>
      <x:c r="C181" s="1"/>
      <x:c r="D181" s="1"/>
      <x:c r="E181" s="1"/>
      <x:c r="F181" s="1"/>
      <x:c r="G181" s="1"/>
    </x:row>
    <x:row r="182">
      <x:c r="A182" s="1"/>
      <x:c r="B182" s="1"/>
      <x:c r="C182" s="1"/>
      <x:c r="D182" s="1"/>
      <x:c r="E182" s="1"/>
      <x:c r="F182" s="1"/>
      <x:c r="G182" s="1"/>
    </x:row>
    <x:row r="183">
      <x:c r="A183" s="1"/>
      <x:c r="B183" s="1"/>
      <x:c r="C183" s="1"/>
      <x:c r="D183" s="1"/>
      <x:c r="E183" s="1"/>
      <x:c r="F183" s="1"/>
      <x:c r="G183" s="1"/>
    </x:row>
    <x:row r="184">
      <x:c r="A184" s="1"/>
      <x:c r="B184" s="1"/>
      <x:c r="C184" s="1"/>
      <x:c r="D184" s="1"/>
      <x:c r="E184" s="1"/>
      <x:c r="F184" s="1"/>
      <x:c r="G184" s="1"/>
    </x:row>
    <x:row r="185">
      <x:c r="A185" s="1"/>
      <x:c r="B185" s="1"/>
      <x:c r="C185" s="1"/>
      <x:c r="D185" s="1"/>
      <x:c r="E185" s="1"/>
      <x:c r="F185" s="1"/>
      <x:c r="G185" s="1"/>
    </x:row>
    <x:row r="186">
      <x:c r="A186" s="1"/>
      <x:c r="B186" s="1"/>
      <x:c r="C186" s="1"/>
      <x:c r="D186" s="1"/>
      <x:c r="E186" s="1"/>
      <x:c r="F186" s="1"/>
      <x:c r="G186" s="1"/>
    </x:row>
    <x:row r="187">
      <x:c r="A187" s="1"/>
      <x:c r="B187" s="1"/>
      <x:c r="C187" s="1"/>
      <x:c r="D187" s="1"/>
      <x:c r="E187" s="1"/>
      <x:c r="F187" s="1"/>
      <x:c r="G187" s="1"/>
    </x:row>
    <x:row r="188">
      <x:c r="A188" s="1"/>
      <x:c r="B188" s="1"/>
      <x:c r="C188" s="1"/>
      <x:c r="D188" s="1"/>
      <x:c r="E188" s="1"/>
      <x:c r="F188" s="1"/>
      <x:c r="G188" s="1"/>
    </x:row>
    <x:row r="189">
      <x:c r="A189" s="1"/>
      <x:c r="B189" s="1"/>
      <x:c r="C189" s="1"/>
      <x:c r="D189" s="1"/>
      <x:c r="E189" s="1"/>
      <x:c r="F189" s="1"/>
      <x:c r="G189" s="1"/>
    </x:row>
    <x:row r="190">
      <x:c r="A190" s="1"/>
      <x:c r="B190" s="1"/>
      <x:c r="C190" s="1"/>
      <x:c r="D190" s="1"/>
      <x:c r="E190" s="1"/>
      <x:c r="F190" s="1"/>
      <x:c r="G190" s="1"/>
    </x:row>
    <x:row r="191">
      <x:c r="A191" s="1"/>
      <x:c r="B191" s="1"/>
      <x:c r="C191" s="1"/>
      <x:c r="D191" s="1"/>
      <x:c r="E191" s="1"/>
      <x:c r="F191" s="1"/>
      <x:c r="G191" s="1"/>
    </x:row>
    <x:row r="192">
      <x:c r="A192" s="1"/>
      <x:c r="B192" s="1"/>
      <x:c r="C192" s="1"/>
      <x:c r="D192" s="1"/>
      <x:c r="E192" s="1"/>
      <x:c r="F192" s="1"/>
      <x:c r="G192" s="1"/>
    </x:row>
    <x:row r="193">
      <x:c r="A193" s="1"/>
      <x:c r="B193" s="1"/>
      <x:c r="C193" s="1"/>
      <x:c r="D193" s="1"/>
      <x:c r="E193" s="1"/>
      <x:c r="F193" s="1"/>
      <x:c r="G193" s="1"/>
    </x:row>
    <x:row r="194">
      <x:c r="A194" s="1"/>
      <x:c r="B194" s="1"/>
      <x:c r="C194" s="1"/>
      <x:c r="D194" s="1"/>
      <x:c r="E194" s="1"/>
      <x:c r="F194" s="1"/>
      <x:c r="G194" s="1"/>
    </x:row>
    <x:row r="195">
      <x:c r="A195" s="1"/>
      <x:c r="B195" s="1"/>
      <x:c r="C195" s="1"/>
      <x:c r="D195" s="1"/>
      <x:c r="E195" s="1"/>
      <x:c r="F195" s="1"/>
      <x:c r="G195" s="1"/>
    </x:row>
    <x:row r="196">
      <x:c r="A196" s="1"/>
      <x:c r="B196" s="1"/>
      <x:c r="C196" s="1"/>
      <x:c r="D196" s="1"/>
      <x:c r="E196" s="1"/>
      <x:c r="F196" s="1"/>
      <x:c r="G196" s="1"/>
    </x:row>
    <x:row r="197">
      <x:c r="A197" s="1"/>
      <x:c r="B197" s="1"/>
      <x:c r="C197" s="1"/>
      <x:c r="D197" s="1"/>
      <x:c r="E197" s="1"/>
      <x:c r="F197" s="1"/>
      <x:c r="G197" s="1"/>
    </x:row>
    <x:row r="198">
      <x:c r="A198" s="1"/>
      <x:c r="B198" s="1"/>
      <x:c r="C198" s="1"/>
      <x:c r="D198" s="1"/>
      <x:c r="E198" s="1"/>
      <x:c r="F198" s="1"/>
      <x:c r="G198" s="1"/>
    </x:row>
    <x:row r="199">
      <x:c r="A199" s="1"/>
      <x:c r="B199" s="1"/>
      <x:c r="C199" s="1"/>
      <x:c r="D199" s="1"/>
      <x:c r="E199" s="1"/>
      <x:c r="F199" s="1"/>
      <x:c r="G199" s="1"/>
    </x:row>
    <x:row r="200">
      <x:c r="A200" s="1"/>
      <x:c r="B200" s="1"/>
      <x:c r="C200" s="1"/>
      <x:c r="D200" s="1"/>
      <x:c r="E200" s="1"/>
      <x:c r="F200" s="1"/>
      <x:c r="G200" s="1"/>
    </x:row>
    <x:row r="201">
      <x:c r="A201" s="1"/>
      <x:c r="B201" s="1"/>
      <x:c r="C201" s="1"/>
      <x:c r="D201" s="1"/>
      <x:c r="E201" s="1"/>
      <x:c r="F201" s="1"/>
      <x:c r="G201" s="1"/>
    </x:row>
    <x:row r="202">
      <x:c r="A202" s="1"/>
      <x:c r="B202" s="1"/>
      <x:c r="C202" s="1"/>
      <x:c r="D202" s="1"/>
      <x:c r="E202" s="1"/>
      <x:c r="F202" s="1"/>
      <x:c r="G202" s="1"/>
    </x:row>
    <x:row r="203">
      <x:c r="A203" s="1"/>
      <x:c r="B203" s="1"/>
      <x:c r="C203" s="1"/>
      <x:c r="D203" s="1"/>
      <x:c r="E203" s="1"/>
      <x:c r="F203" s="1"/>
      <x:c r="G203" s="1"/>
    </x:row>
    <x:row r="204">
      <x:c r="A204" s="1"/>
      <x:c r="B204" s="1"/>
      <x:c r="C204" s="1"/>
      <x:c r="D204" s="1"/>
      <x:c r="E204" s="1"/>
      <x:c r="F204" s="1"/>
      <x:c r="G204" s="1"/>
    </x:row>
    <x:row r="205">
      <x:c r="A205" s="1"/>
      <x:c r="B205" s="1"/>
      <x:c r="C205" s="1"/>
      <x:c r="D205" s="1"/>
      <x:c r="E205" s="1"/>
      <x:c r="F205" s="1"/>
      <x:c r="G205" s="1"/>
    </x:row>
    <x:row r="206">
      <x:c r="A206" s="1"/>
      <x:c r="B206" s="1"/>
      <x:c r="C206" s="1"/>
      <x:c r="D206" s="1"/>
      <x:c r="E206" s="1"/>
      <x:c r="F206" s="1"/>
      <x:c r="G206" s="1"/>
    </x:row>
    <x:row r="207">
      <x:c r="A207" s="1"/>
      <x:c r="B207" s="1"/>
      <x:c r="C207" s="1"/>
      <x:c r="D207" s="1"/>
      <x:c r="E207" s="1"/>
      <x:c r="F207" s="1"/>
      <x:c r="G207" s="1"/>
    </x:row>
    <x:row r="208">
      <x:c r="A208" s="1"/>
      <x:c r="B208" s="1"/>
      <x:c r="C208" s="1"/>
      <x:c r="D208" s="1"/>
      <x:c r="E208" s="1"/>
      <x:c r="F208" s="1"/>
      <x:c r="G208" s="1"/>
    </x:row>
    <x:row r="209">
      <x:c r="A209" s="1"/>
      <x:c r="B209" s="1"/>
      <x:c r="C209" s="1"/>
      <x:c r="D209" s="1"/>
      <x:c r="E209" s="1"/>
      <x:c r="F209" s="1"/>
      <x:c r="G209" s="1"/>
    </x:row>
    <x:row r="210">
      <x:c r="A210" s="1"/>
      <x:c r="B210" s="1"/>
      <x:c r="C210" s="1"/>
      <x:c r="D210" s="1"/>
      <x:c r="E210" s="1"/>
      <x:c r="F210" s="1"/>
      <x:c r="G210" s="1"/>
    </x:row>
    <x:row r="211">
      <x:c r="A211" s="1"/>
      <x:c r="B211" s="1"/>
      <x:c r="C211" s="1"/>
      <x:c r="D211" s="1"/>
      <x:c r="E211" s="1"/>
      <x:c r="F211" s="1"/>
      <x:c r="G211" s="1"/>
    </x:row>
    <x:row r="212">
      <x:c r="A212" s="1"/>
      <x:c r="B212" s="1"/>
      <x:c r="C212" s="1"/>
      <x:c r="D212" s="1"/>
      <x:c r="E212" s="1"/>
      <x:c r="F212" s="1"/>
      <x:c r="G212" s="1"/>
    </x:row>
    <x:row r="213">
      <x:c r="A213" s="1"/>
      <x:c r="B213" s="1"/>
      <x:c r="C213" s="1"/>
      <x:c r="D213" s="1"/>
      <x:c r="E213" s="1"/>
      <x:c r="F213" s="1"/>
      <x:c r="G213" s="1"/>
    </x:row>
    <x:row r="214">
      <x:c r="A214" s="1"/>
      <x:c r="B214" s="1"/>
      <x:c r="C214" s="1"/>
      <x:c r="D214" s="1"/>
      <x:c r="E214" s="1"/>
      <x:c r="F214" s="1"/>
      <x:c r="G214" s="1"/>
    </x:row>
    <x:row r="215">
      <x:c r="A215" s="1"/>
      <x:c r="B215" s="1"/>
      <x:c r="C215" s="1"/>
      <x:c r="D215" s="1"/>
      <x:c r="E215" s="1"/>
      <x:c r="F215" s="1"/>
      <x:c r="G215" s="1"/>
    </x:row>
    <x:row r="216">
      <x:c r="A216" s="1"/>
      <x:c r="B216" s="1"/>
      <x:c r="C216" s="1"/>
      <x:c r="D216" s="1"/>
      <x:c r="E216" s="1"/>
      <x:c r="F216" s="1"/>
      <x:c r="G216" s="1"/>
    </x:row>
    <x:row r="217">
      <x:c r="A217" s="1"/>
      <x:c r="B217" s="1"/>
      <x:c r="C217" s="1"/>
      <x:c r="D217" s="1"/>
      <x:c r="E217" s="1"/>
      <x:c r="F217" s="1"/>
      <x:c r="G217" s="1"/>
    </x:row>
    <x:row r="218">
      <x:c r="A218" s="1"/>
      <x:c r="B218" s="1"/>
      <x:c r="C218" s="1"/>
      <x:c r="D218" s="1"/>
      <x:c r="E218" s="1"/>
      <x:c r="F218" s="1"/>
      <x:c r="G218" s="1"/>
    </x:row>
    <x:row r="219">
      <x:c r="A219" s="1"/>
      <x:c r="B219" s="1"/>
      <x:c r="C219" s="1"/>
      <x:c r="D219" s="1"/>
      <x:c r="E219" s="1"/>
      <x:c r="F219" s="1"/>
      <x:c r="G219" s="1"/>
    </x:row>
    <x:row r="220">
      <x:c r="A220" s="1"/>
      <x:c r="B220" s="1"/>
      <x:c r="C220" s="1"/>
      <x:c r="D220" s="1"/>
      <x:c r="E220" s="1"/>
      <x:c r="F220" s="1"/>
      <x:c r="G220" s="1"/>
    </x:row>
    <x:row r="221">
      <x:c r="A221" s="1"/>
      <x:c r="B221" s="1"/>
      <x:c r="C221" s="1"/>
      <x:c r="D221" s="1"/>
      <x:c r="E221" s="1"/>
      <x:c r="F221" s="1"/>
      <x:c r="G221" s="1"/>
    </x:row>
    <x:row r="222">
      <x:c r="A222" s="1"/>
      <x:c r="B222" s="1"/>
      <x:c r="C222" s="1"/>
      <x:c r="D222" s="1"/>
      <x:c r="E222" s="1"/>
      <x:c r="F222" s="1"/>
      <x:c r="G222" s="1"/>
    </x:row>
    <x:row r="223">
      <x:c r="A223" s="1"/>
      <x:c r="B223" s="1"/>
      <x:c r="C223" s="1"/>
      <x:c r="D223" s="1"/>
      <x:c r="E223" s="1"/>
      <x:c r="F223" s="1"/>
      <x:c r="G223" s="1"/>
    </x:row>
    <x:row r="224">
      <x:c r="A224" s="1"/>
      <x:c r="B224" s="1"/>
      <x:c r="C224" s="1"/>
      <x:c r="D224" s="1"/>
      <x:c r="E224" s="1"/>
      <x:c r="F224" s="1"/>
      <x:c r="G224" s="1"/>
    </x:row>
    <x:row r="225">
      <x:c r="A225" s="1"/>
      <x:c r="B225" s="1"/>
      <x:c r="C225" s="1"/>
      <x:c r="D225" s="1"/>
      <x:c r="E225" s="1"/>
      <x:c r="F225" s="1"/>
      <x:c r="G225" s="1"/>
    </x:row>
    <x:row r="226">
      <x:c r="A226" s="1"/>
      <x:c r="B226" s="1"/>
      <x:c r="C226" s="1"/>
      <x:c r="D226" s="1"/>
      <x:c r="E226" s="1"/>
      <x:c r="F226" s="1"/>
      <x:c r="G226" s="1"/>
    </x:row>
    <x:row r="227">
      <x:c r="A227" s="1"/>
      <x:c r="B227" s="1"/>
      <x:c r="C227" s="1"/>
      <x:c r="D227" s="1"/>
      <x:c r="E227" s="1"/>
      <x:c r="F227" s="1"/>
      <x:c r="G227" s="1"/>
    </x:row>
    <x:row r="228">
      <x:c r="A228" s="1"/>
      <x:c r="B228" s="1"/>
      <x:c r="C228" s="1"/>
      <x:c r="D228" s="1"/>
      <x:c r="E228" s="1"/>
      <x:c r="F228" s="1"/>
      <x:c r="G228" s="1"/>
    </x:row>
    <x:row r="229">
      <x:c r="A229" s="1"/>
      <x:c r="B229" s="1"/>
      <x:c r="C229" s="1"/>
      <x:c r="D229" s="1"/>
      <x:c r="E229" s="1"/>
      <x:c r="F229" s="1"/>
      <x:c r="G229" s="1"/>
    </x:row>
    <x:row r="230">
      <x:c r="A230" s="1"/>
      <x:c r="B230" s="1"/>
      <x:c r="C230" s="1"/>
      <x:c r="D230" s="1"/>
      <x:c r="E230" s="1"/>
      <x:c r="F230" s="1"/>
      <x:c r="G230" s="1"/>
    </x:row>
    <x:row r="231">
      <x:c r="A231" s="1"/>
      <x:c r="B231" s="1"/>
      <x:c r="C231" s="1"/>
      <x:c r="D231" s="1"/>
      <x:c r="E231" s="1"/>
      <x:c r="F231" s="1"/>
      <x:c r="G231" s="1"/>
    </x:row>
    <x:row r="232">
      <x:c r="A232" s="1"/>
      <x:c r="B232" s="1"/>
      <x:c r="C232" s="1"/>
      <x:c r="D232" s="1"/>
      <x:c r="E232" s="1"/>
      <x:c r="F232" s="1"/>
      <x:c r="G232" s="1"/>
    </x:row>
    <x:row r="233">
      <x:c r="A233" s="1"/>
      <x:c r="B233" s="1"/>
      <x:c r="C233" s="1"/>
      <x:c r="D233" s="1"/>
      <x:c r="E233" s="1"/>
      <x:c r="F233" s="1"/>
      <x:c r="G233" s="1"/>
    </x:row>
    <x:row r="234">
      <x:c r="A234" s="1"/>
      <x:c r="B234" s="1"/>
      <x:c r="C234" s="1"/>
      <x:c r="D234" s="1"/>
      <x:c r="E234" s="1"/>
      <x:c r="F234" s="1"/>
      <x:c r="G234" s="1"/>
    </x:row>
    <x:row r="235">
      <x:c r="A235" s="1"/>
      <x:c r="B235" s="1"/>
      <x:c r="C235" s="1"/>
      <x:c r="D235" s="1"/>
      <x:c r="E235" s="1"/>
      <x:c r="F235" s="1"/>
      <x:c r="G235" s="1"/>
    </x:row>
    <x:row r="236">
      <x:c r="A236" s="1"/>
      <x:c r="B236" s="1"/>
      <x:c r="C236" s="1"/>
      <x:c r="D236" s="1"/>
      <x:c r="E236" s="1"/>
      <x:c r="F236" s="1"/>
      <x:c r="G236" s="1"/>
    </x:row>
    <x:row r="237">
      <x:c r="A237" s="1"/>
      <x:c r="B237" s="1"/>
      <x:c r="C237" s="1"/>
      <x:c r="D237" s="1"/>
      <x:c r="E237" s="1"/>
      <x:c r="F237" s="1"/>
      <x:c r="G237" s="1"/>
    </x:row>
    <x:row r="238">
      <x:c r="A238" s="1"/>
      <x:c r="B238" s="1"/>
      <x:c r="C238" s="1"/>
      <x:c r="D238" s="1"/>
      <x:c r="E238" s="1"/>
      <x:c r="F238" s="1"/>
      <x:c r="G238" s="1"/>
    </x:row>
    <x:row r="239">
      <x:c r="A239" s="1"/>
      <x:c r="B239" s="1"/>
      <x:c r="C239" s="1"/>
      <x:c r="D239" s="1"/>
      <x:c r="E239" s="1"/>
      <x:c r="F239" s="1"/>
      <x:c r="G239" s="1"/>
    </x:row>
    <x:row r="240">
      <x:c r="A240" s="1"/>
      <x:c r="B240" s="1"/>
      <x:c r="C240" s="1"/>
      <x:c r="D240" s="1"/>
      <x:c r="E240" s="1"/>
      <x:c r="F240" s="1"/>
      <x:c r="G240" s="1"/>
    </x:row>
    <x:row r="241">
      <x:c r="A241" s="1"/>
      <x:c r="B241" s="1"/>
      <x:c r="C241" s="1"/>
      <x:c r="D241" s="1"/>
      <x:c r="E241" s="1"/>
      <x:c r="F241" s="1"/>
      <x:c r="G241" s="1"/>
    </x:row>
    <x:row r="242">
      <x:c r="A242" s="1"/>
      <x:c r="B242" s="1"/>
      <x:c r="C242" s="1"/>
      <x:c r="D242" s="1"/>
      <x:c r="E242" s="1"/>
      <x:c r="F242" s="1"/>
      <x:c r="G242" s="1"/>
    </x:row>
  </x:sheetData>
  <x:pageMargins left="0.7" right="0.7" top="0.75" bottom="0.75" header="0.3" footer="0.3"/>
  <x:tableParts count="1">
    <x:tablePart xmlns:r="http://schemas.openxmlformats.org/officeDocument/2006/relationships" r:id="Rca912edf0f77453c"/>
  </x:tableParts>
</x:worksheet>
</file>